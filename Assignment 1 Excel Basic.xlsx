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EE21D25-0F8C-43FB-9D36-61B3C25459FF}" xr6:coauthVersionLast="47" xr6:coauthVersionMax="47" xr10:uidLastSave="{00000000-0000-0000-0000-000000000000}"/>
  <bookViews>
    <workbookView xWindow="-110" yWindow="-110" windowWidth="19420" windowHeight="10420" activeTab="4" xr2:uid="{E3189DEF-9A05-40E5-9094-D5A74824E500}"/>
  </bookViews>
  <sheets>
    <sheet name="Answer 1" sheetId="7" r:id="rId1"/>
    <sheet name="Answer 2" sheetId="1" r:id="rId2"/>
    <sheet name="Answer 3" sheetId="3" r:id="rId3"/>
    <sheet name="Column Chart" sheetId="5" r:id="rId4"/>
    <sheet name="Answers" sheetId="4" r:id="rId5"/>
    <sheet name="Sheet1" sheetId="6" r:id="rId6"/>
    <sheet name="Replace function" sheetId="2" state="hidden" r:id="rId7"/>
  </sheets>
  <definedNames>
    <definedName name="_xlnm._FilterDatabase" localSheetId="4" hidden="1">Answers!$A$1:$J$51</definedName>
    <definedName name="_xlnm._FilterDatabase" localSheetId="5" hidden="1">Sheet1!$A$3:$B$3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D4" i="6"/>
  <c r="D3" i="1"/>
  <c r="A10" i="2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M4" i="4"/>
  <c r="M3" i="4"/>
  <c r="A8" i="2"/>
  <c r="A6" i="2"/>
  <c r="A4" i="2"/>
  <c r="A1" i="2"/>
</calcChain>
</file>

<file path=xl/sharedStrings.xml><?xml version="1.0" encoding="utf-8"?>
<sst xmlns="http://schemas.openxmlformats.org/spreadsheetml/2006/main" count="280" uniqueCount="138">
  <si>
    <t>Car</t>
  </si>
  <si>
    <t>Bicycle</t>
  </si>
  <si>
    <t>Vehicle</t>
  </si>
  <si>
    <t>Price</t>
  </si>
  <si>
    <t>Auto-Rickshaw</t>
  </si>
  <si>
    <t>Total Sale of Car and Bicycle</t>
  </si>
  <si>
    <t>Diksha.diksha@ihg.com</t>
  </si>
  <si>
    <t>sixsenses.com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</si>
  <si>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</si>
  <si>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</si>
  <si>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</si>
  <si>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</si>
  <si>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</si>
  <si>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</si>
  <si>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</si>
  <si>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</si>
  <si>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</si>
  <si>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</si>
  <si>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</si>
  <si>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</si>
  <si>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</si>
  <si>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</si>
  <si>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</si>
  <si>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</si>
  <si>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</si>
  <si>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</si>
  <si>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</si>
  <si>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</si>
  <si>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</si>
  <si>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</si>
  <si>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</si>
  <si>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</si>
  <si>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</si>
  <si>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</si>
  <si>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</si>
  <si>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</si>
  <si>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</si>
  <si>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</si>
  <si>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</si>
  <si>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</si>
  <si>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</si>
  <si>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</si>
  <si>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</si>
  <si>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</si>
  <si>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</si>
  <si>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</si>
  <si>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</si>
  <si>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</si>
  <si>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</si>
  <si>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</si>
  <si>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</si>
  <si>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</si>
  <si>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</si>
  <si>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</si>
  <si>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</si>
  <si>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</si>
  <si>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</si>
  <si>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</si>
  <si>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</si>
  <si>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</si>
  <si>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</si>
  <si>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</si>
  <si>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</si>
  <si>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</si>
  <si>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</si>
  <si>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</si>
  <si>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</si>
  <si>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</si>
  <si>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</si>
  <si>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</si>
  <si>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</si>
  <si>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</si>
  <si>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</si>
  <si>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</si>
  <si>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</si>
  <si>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</si>
  <si>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</si>
  <si>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</si>
  <si>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</si>
  <si>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</si>
  <si>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</si>
  <si>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</si>
  <si>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</si>
  <si>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</si>
  <si>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</si>
  <si>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</si>
  <si>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</si>
  <si>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</si>
  <si>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</si>
  <si>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</si>
  <si>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</si>
  <si>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</si>
  <si>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</si>
  <si>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</si>
  <si>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</si>
  <si>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</si>
  <si>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</si>
  <si>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</si>
  <si>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</si>
  <si>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</si>
  <si>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</si>
  <si>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</si>
  <si>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</si>
  <si>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</si>
  <si>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</si>
  <si>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 how many customer names are recorded.</t>
  </si>
  <si>
    <t>Questions</t>
  </si>
  <si>
    <t>Answer</t>
  </si>
  <si>
    <t>Calculate the Total Sales for each row using a formula.</t>
  </si>
  <si>
    <t>Calculate the total sales of Notebooks in the North region only.</t>
  </si>
  <si>
    <t>Create a column chart showing total sales by product.</t>
  </si>
  <si>
    <t>Sum of Sales</t>
  </si>
  <si>
    <t>Insert a line chart showing daily sales trend.</t>
  </si>
  <si>
    <t>Formula</t>
  </si>
  <si>
    <t>Explain the difference between Relative , Absolute and Mixed Cell Referencing._x000B_</t>
  </si>
  <si>
    <t>Refer Sheet 1</t>
  </si>
  <si>
    <t>Sales Trend</t>
  </si>
  <si>
    <t>Absolute Cell Reference</t>
  </si>
  <si>
    <r>
      <t xml:space="preserve">A cell reference that does not change when the formula is copied to another cell (e.g., </t>
    </r>
    <r>
      <rPr>
        <sz val="10"/>
        <color theme="1"/>
        <rFont val="Arial Unicode MS"/>
      </rPr>
      <t>$A$1</t>
    </r>
    <r>
      <rPr>
        <sz val="11"/>
        <color theme="1"/>
        <rFont val="Aptos Narrow"/>
        <family val="2"/>
        <scheme val="minor"/>
      </rPr>
      <t>).</t>
    </r>
  </si>
  <si>
    <r>
      <t>Absolute Cell Reference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$A$1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</si>
  <si>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=$A$1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</si>
  <si>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remains </t>
    </r>
    <r>
      <rPr>
        <sz val="10"/>
        <color theme="1"/>
        <rFont val="Arial Unicode MS"/>
      </rPr>
      <t>=$A$1 + 5</t>
    </r>
    <r>
      <rPr>
        <sz val="11"/>
        <color theme="1"/>
        <rFont val="Aptos Narrow"/>
        <family val="2"/>
        <scheme val="minor"/>
      </rPr>
      <t xml:space="preserve"> (reference to 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 xml:space="preserve"> does not change).</t>
    </r>
  </si>
  <si>
    <r>
      <t>Relative Cell Reference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>):</t>
    </r>
  </si>
  <si>
    <r>
      <t xml:space="preserve">A cell reference that adjusts when the formula is copied to another cell (e.g., </t>
    </r>
    <r>
      <rPr>
        <sz val="10"/>
        <color theme="1"/>
        <rFont val="Arial Unicode MS"/>
      </rPr>
      <t>A1</t>
    </r>
    <r>
      <rPr>
        <sz val="11"/>
        <color theme="1"/>
        <rFont val="Aptos Narrow"/>
        <family val="2"/>
        <scheme val="minor"/>
      </rPr>
      <t>).</t>
    </r>
  </si>
  <si>
    <t>Relative Cell Reference</t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</si>
  <si>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=A1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</si>
  <si>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=B1 + 5</t>
    </r>
    <r>
      <rPr>
        <sz val="11"/>
        <color theme="1"/>
        <rFont val="Aptos Narrow"/>
        <family val="2"/>
        <scheme val="minor"/>
      </rPr>
      <t xml:space="preserve"> (reference adjusts based on new position).</t>
    </r>
  </si>
  <si>
    <r>
      <t>Mixed Cell Reference</t>
    </r>
    <r>
      <rPr>
        <sz val="11"/>
        <color theme="1"/>
        <rFont val="Aptos Narrow"/>
        <family val="2"/>
        <scheme val="minor"/>
      </rPr>
      <t>:</t>
    </r>
  </si>
  <si>
    <r>
      <t>Mixed Cell Reference</t>
    </r>
    <r>
      <rPr>
        <i/>
        <sz val="11"/>
        <color theme="1"/>
        <rFont val="Aptos Narrow"/>
        <family val="2"/>
        <scheme val="minor"/>
      </rPr>
      <t>:</t>
    </r>
  </si>
  <si>
    <r>
      <t xml:space="preserve">A combination of absolute and relative references. Either the row or the column is fixed, but not both (e.g., </t>
    </r>
    <r>
      <rPr>
        <sz val="10"/>
        <color theme="1"/>
        <rFont val="Arial Unicode MS"/>
      </rPr>
      <t>$A1</t>
    </r>
    <r>
      <rPr>
        <sz val="11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</rPr>
      <t>A$1</t>
    </r>
    <r>
      <rPr>
        <sz val="11"/>
        <color theme="1"/>
        <rFont val="Aptos Narrow"/>
        <family val="2"/>
        <scheme val="minor"/>
      </rPr>
      <t>).</t>
    </r>
  </si>
  <si>
    <r>
      <t>Column Fixed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$A1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</si>
  <si>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=$A1 + 5</t>
    </r>
  </si>
  <si>
    <r>
      <t xml:space="preserve">If copied to </t>
    </r>
    <r>
      <rPr>
        <sz val="10"/>
        <color theme="1"/>
        <rFont val="Arial Unicode MS"/>
      </rPr>
      <t>C1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=$A2 + 5</t>
    </r>
    <r>
      <rPr>
        <sz val="11"/>
        <color theme="1"/>
        <rFont val="Aptos Narrow"/>
        <family val="2"/>
        <scheme val="minor"/>
      </rPr>
      <t xml:space="preserve"> (column </t>
    </r>
    <r>
      <rPr>
        <sz val="10"/>
        <color theme="1"/>
        <rFont val="Arial Unicode MS"/>
      </rPr>
      <t>A</t>
    </r>
    <r>
      <rPr>
        <sz val="11"/>
        <color theme="1"/>
        <rFont val="Aptos Narrow"/>
        <family val="2"/>
        <scheme val="minor"/>
      </rPr>
      <t xml:space="preserve"> is fixed, but row changes).</t>
    </r>
  </si>
  <si>
    <r>
      <t>Row Fixed</t>
    </r>
    <r>
      <rPr>
        <sz val="11"/>
        <color theme="1"/>
        <rFont val="Aptos Narrow"/>
        <family val="2"/>
        <scheme val="minor"/>
      </rPr>
      <t xml:space="preserve"> (</t>
    </r>
    <r>
      <rPr>
        <sz val="10"/>
        <color theme="1"/>
        <rFont val="Arial Unicode MS"/>
      </rPr>
      <t>A$1</t>
    </r>
    <r>
      <rPr>
        <sz val="11"/>
        <color theme="1"/>
        <rFont val="Aptos Narrow"/>
        <family val="2"/>
        <scheme val="minor"/>
      </rPr>
      <t>):</t>
    </r>
  </si>
  <si>
    <r>
      <t xml:space="preserve">Formula in cell </t>
    </r>
    <r>
      <rPr>
        <sz val="10"/>
        <color theme="1"/>
        <rFont val="Arial Unicode MS"/>
      </rPr>
      <t>B1</t>
    </r>
    <r>
      <rPr>
        <sz val="11"/>
        <color theme="1"/>
        <rFont val="Aptos Narrow"/>
        <family val="2"/>
        <scheme val="minor"/>
      </rPr>
      <t xml:space="preserve">: </t>
    </r>
    <r>
      <rPr>
        <sz val="10"/>
        <color theme="1"/>
        <rFont val="Arial Unicode MS"/>
      </rPr>
      <t>=A$1 + 5</t>
    </r>
  </si>
  <si>
    <r>
      <t xml:space="preserve">If copied to </t>
    </r>
    <r>
      <rPr>
        <sz val="10"/>
        <color theme="1"/>
        <rFont val="Arial Unicode MS"/>
      </rPr>
      <t>C2</t>
    </r>
    <r>
      <rPr>
        <sz val="11"/>
        <color theme="1"/>
        <rFont val="Aptos Narrow"/>
        <family val="2"/>
        <scheme val="minor"/>
      </rPr>
      <t xml:space="preserve">, the formula changes to </t>
    </r>
    <r>
      <rPr>
        <sz val="10"/>
        <color theme="1"/>
        <rFont val="Arial Unicode MS"/>
      </rPr>
      <t>=B$1 + 5</t>
    </r>
    <r>
      <rPr>
        <sz val="11"/>
        <color theme="1"/>
        <rFont val="Aptos Narrow"/>
        <family val="2"/>
        <scheme val="minor"/>
      </rPr>
      <t xml:space="preserve"> (row </t>
    </r>
    <r>
      <rPr>
        <sz val="10"/>
        <color theme="1"/>
        <rFont val="Arial Unicode MS"/>
      </rPr>
      <t>1</t>
    </r>
    <r>
      <rPr>
        <sz val="11"/>
        <color theme="1"/>
        <rFont val="Aptos Narrow"/>
        <family val="2"/>
        <scheme val="minor"/>
      </rPr>
      <t xml:space="preserve"> is fixed, but column changes).</t>
    </r>
  </si>
  <si>
    <t>Write a formula to calculate the total sales of Car and Bicyle only only.</t>
  </si>
  <si>
    <t>Using the data below, write a formula to calculate the average sales of items priced above 100 but less than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</si>
</sst>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1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3" fillId="0" borderId="0" xfId="1" applyFont="1"/>
    <xf numFmtId="0" fontId="4" fillId="0" borderId="0" xfId="0" applyFont="1"/>
    <xf numFmtId="0" fontId="0" fillId="0" borderId="4" xfId="0" applyBorder="1"/>
    <xf numFmtId="0" fontId="0" fillId="0" borderId="0" xfId="0" applyAlignment="1">
      <alignment horizontal="right"/>
    </xf>
    <xf numFmtId="0" fontId="9" fillId="0" borderId="0" xfId="0" applyFont="1"/>
    <xf numFmtId="0" fontId="9" fillId="2" borderId="0" xfId="0" applyFont="1" applyFill="1"/>
    <xf numFmtId="0" fontId="0" fillId="0" borderId="0" xfId="0" applyAlignment="1">
      <alignment horizontal="left" vertical="center" indent="1"/>
    </xf>
    <xf numFmtId="0" fontId="4" fillId="0" borderId="2" xfId="0" applyFont="1" applyBorder="1"/>
    <xf numFmtId="0" fontId="1" fillId="0" borderId="0" xfId="0" applyFont="1" applyAlignment="1">
      <alignment vertical="center" wrapText="1"/>
    </xf>
    <xf numFmtId="46" fontId="0" fillId="0" borderId="0" xfId="0" applyNumberFormat="1"/>
    <xf numFmtId="0" fontId="0" fillId="0" borderId="4" xfId="0" pivotButton="1" applyBorder="1"/>
    <xf numFmtId="0" fontId="5" fillId="0" borderId="4" xfId="0" applyFont="1" applyBorder="1"/>
    <xf numFmtId="0" fontId="6" fillId="0" borderId="4" xfId="0" applyFont="1" applyBorder="1" applyAlignment="1">
      <alignment horizontal="right"/>
    </xf>
    <xf numFmtId="0" fontId="6" fillId="0" borderId="4" xfId="0" applyFont="1" applyBorder="1"/>
    <xf numFmtId="164" fontId="6" fillId="0" borderId="4" xfId="0" applyNumberFormat="1" applyFont="1" applyBorder="1" applyAlignment="1">
      <alignment horizontal="right"/>
    </xf>
    <xf numFmtId="0" fontId="7" fillId="2" borderId="4" xfId="0" applyFont="1" applyFill="1" applyBorder="1"/>
    <xf numFmtId="0" fontId="4" fillId="2" borderId="0" xfId="0" applyFont="1" applyFill="1" applyAlignment="1">
      <alignment horizontal="center"/>
    </xf>
    <xf numFmtId="0" fontId="9" fillId="2" borderId="4" xfId="0" applyFont="1" applyFill="1" applyBorder="1"/>
    <xf numFmtId="0" fontId="5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</cellXfs>
  <cellStyles count="2">
    <cellStyle name="Hyperlink" xfId="1" builtinId="8"/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 1 Excel Basic.xlsx]Column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'Column Chart'!$B$4:$B$8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B-4287-AEA8-05BED35A04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4242735"/>
        <c:axId val="484226895"/>
      </c:barChart>
      <c:catAx>
        <c:axId val="484242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26895"/>
        <c:crosses val="autoZero"/>
        <c:auto val="1"/>
        <c:lblAlgn val="ctr"/>
        <c:lblOffset val="100"/>
        <c:noMultiLvlLbl val="0"/>
      </c:catAx>
      <c:valAx>
        <c:axId val="48422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42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Answers!$J$1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Answers!$I$2:$I$51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Answers!$J$2:$J$51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8A-4155-9A99-DC380FC653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96832912"/>
        <c:axId val="296831952"/>
      </c:lineChart>
      <c:catAx>
        <c:axId val="2968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31952"/>
        <c:crosses val="autoZero"/>
        <c:auto val="1"/>
        <c:lblAlgn val="ctr"/>
        <c:lblOffset val="100"/>
        <c:noMultiLvlLbl val="0"/>
      </c:catAx>
      <c:valAx>
        <c:axId val="296831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683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142874</xdr:colOff>
      <xdr:row>2</xdr:row>
      <xdr:rowOff>88900</xdr:rowOff>
    </xdr:from>
    <xdr:to>
      <xdr:col>11</xdr:col>
      <xdr:colOff>596899</xdr:colOff>
      <xdr:row>18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87F3F9-593B-0FFB-7482-4BC4933B0C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454025</xdr:colOff>
      <xdr:row>9</xdr:row>
      <xdr:rowOff>107950</xdr:rowOff>
    </xdr:from>
    <xdr:to>
      <xdr:col>12</xdr:col>
      <xdr:colOff>720725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2D6A4E-879E-A9E0-7EEF-A3D9FFABF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ksha, Diksha" refreshedDate="45998.927666782409" createdVersion="8" refreshedVersion="8" minRefreshableVersion="3" recordCount="50" xr:uid="{24C412E5-B1C1-46F6-A4DA-EA16CFD8B55C}">
  <cacheSource type="worksheet">
    <worksheetSource ref="A1:J51" sheet="Answers"/>
  </cacheSource>
  <cacheFields count="8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Sales" numFmtId="0">
      <sharedItems containsSemiMixedTypes="0" containsString="0" containsNumber="1" containsInteger="1" minValue="90" maxValue="8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</r>
  <r>
    <n v="1002"/>
    <s v="Neha Verma"/>
    <s v="South"/>
    <x v="1"/>
    <n v="20"/>
    <n v="10"/>
    <d v="2024-06-01T00:00:00"/>
    <n v="200"/>
  </r>
  <r>
    <n v="1003"/>
    <s v="Rahul Singh"/>
    <s v="East"/>
    <x v="2"/>
    <n v="15"/>
    <n v="25"/>
    <d v="2024-07-01T00:00:00"/>
    <n v="375"/>
  </r>
  <r>
    <n v="1004"/>
    <s v="Pooja Mehta"/>
    <s v="West"/>
    <x v="0"/>
    <n v="5"/>
    <n v="50"/>
    <d v="2024-08-01T00:00:00"/>
    <n v="250"/>
  </r>
  <r>
    <n v="1005"/>
    <s v="Ankit Jain"/>
    <s v="North"/>
    <x v="3"/>
    <n v="30"/>
    <n v="5"/>
    <d v="2024-10-01T00:00:00"/>
    <n v="150"/>
  </r>
  <r>
    <n v="1006"/>
    <s v="Sneha Patel"/>
    <s v="South"/>
    <x v="0"/>
    <n v="12"/>
    <n v="50"/>
    <d v="2024-11-01T00:00:00"/>
    <n v="600"/>
  </r>
  <r>
    <n v="1007"/>
    <s v="Vikas Gupta"/>
    <s v="East"/>
    <x v="4"/>
    <n v="25"/>
    <n v="8"/>
    <s v="13-01-2024"/>
    <n v="200"/>
  </r>
  <r>
    <n v="1008"/>
    <s v="Meera Nair"/>
    <s v="West"/>
    <x v="1"/>
    <n v="18"/>
    <n v="10"/>
    <s v="15-01-2024"/>
    <n v="180"/>
  </r>
  <r>
    <n v="1009"/>
    <s v="Anjali Rao"/>
    <s v="North"/>
    <x v="2"/>
    <n v="22"/>
    <n v="25"/>
    <s v="17-01-2024"/>
    <n v="550"/>
  </r>
  <r>
    <n v="1010"/>
    <s v="Manoj Das"/>
    <s v="South"/>
    <x v="0"/>
    <n v="8"/>
    <n v="50"/>
    <s v="18-01-2024"/>
    <n v="400"/>
  </r>
  <r>
    <n v="1011"/>
    <s v="Ritika Sen"/>
    <s v="East"/>
    <x v="3"/>
    <n v="40"/>
    <n v="5"/>
    <s v="19-01-2024"/>
    <n v="200"/>
  </r>
  <r>
    <n v="1012"/>
    <s v="Karan Malhotra"/>
    <s v="West"/>
    <x v="4"/>
    <n v="35"/>
    <n v="8"/>
    <s v="20-01-2024"/>
    <n v="280"/>
  </r>
  <r>
    <n v="1013"/>
    <s v="Aryan Joshi"/>
    <s v="North"/>
    <x v="0"/>
    <n v="14"/>
    <n v="50"/>
    <s v="22-01-2024"/>
    <n v="700"/>
  </r>
  <r>
    <n v="1014"/>
    <s v="Divya Kapoor"/>
    <s v="South"/>
    <x v="1"/>
    <n v="28"/>
    <n v="10"/>
    <s v="23-01-2024"/>
    <n v="280"/>
  </r>
  <r>
    <n v="1015"/>
    <s v="Sahil Arora"/>
    <s v="East"/>
    <x v="2"/>
    <n v="12"/>
    <n v="25"/>
    <s v="24-01-2024"/>
    <n v="300"/>
  </r>
  <r>
    <n v="1016"/>
    <s v="Muskan Jain"/>
    <s v="West"/>
    <x v="3"/>
    <n v="25"/>
    <n v="5"/>
    <s v="26-01-2024"/>
    <n v="125"/>
  </r>
  <r>
    <n v="1017"/>
    <s v="Rohan Gupta"/>
    <s v="North"/>
    <x v="4"/>
    <n v="20"/>
    <n v="8"/>
    <s v="28-01-2024"/>
    <n v="160"/>
  </r>
  <r>
    <n v="1018"/>
    <s v="Nidhi Sharma"/>
    <s v="South"/>
    <x v="0"/>
    <n v="10"/>
    <n v="50"/>
    <s v="29-01-2024"/>
    <n v="500"/>
  </r>
  <r>
    <n v="1019"/>
    <s v="Tarun Verma"/>
    <s v="East"/>
    <x v="1"/>
    <n v="15"/>
    <n v="10"/>
    <s v="30-01-2024"/>
    <n v="150"/>
  </r>
  <r>
    <n v="1020"/>
    <s v="Simran Kaur"/>
    <s v="West"/>
    <x v="2"/>
    <n v="18"/>
    <n v="25"/>
    <d v="2024-01-02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3-02T00:00:00"/>
    <n v="175"/>
  </r>
  <r>
    <n v="1023"/>
    <s v="Aditya Singh"/>
    <s v="East"/>
    <x v="4"/>
    <n v="30"/>
    <n v="8"/>
    <d v="2024-04-02T00:00:00"/>
    <n v="240"/>
  </r>
  <r>
    <n v="1024"/>
    <s v="Shreya Nair"/>
    <s v="West"/>
    <x v="0"/>
    <n v="11"/>
    <n v="50"/>
    <d v="2024-06-02T00:00:00"/>
    <n v="550"/>
  </r>
  <r>
    <n v="1025"/>
    <s v="Sanjay Kumar"/>
    <s v="North"/>
    <x v="1"/>
    <n v="14"/>
    <n v="10"/>
    <d v="2024-07-02T00:00:00"/>
    <n v="140"/>
  </r>
  <r>
    <n v="1026"/>
    <s v="Aarti Sharma"/>
    <s v="South"/>
    <x v="2"/>
    <n v="16"/>
    <n v="25"/>
    <d v="2024-08-02T00:00:00"/>
    <n v="400"/>
  </r>
  <r>
    <n v="1027"/>
    <s v="Rajesh Patel"/>
    <s v="East"/>
    <x v="3"/>
    <n v="22"/>
    <n v="5"/>
    <d v="2024-09-02T00:00:00"/>
    <n v="110"/>
  </r>
  <r>
    <n v="1028"/>
    <s v="Preeti Joshi"/>
    <s v="West"/>
    <x v="4"/>
    <n v="27"/>
    <n v="8"/>
    <d v="2024-10-02T00:00:00"/>
    <n v="216"/>
  </r>
  <r>
    <n v="1029"/>
    <s v="Anurag Mishra"/>
    <s v="North"/>
    <x v="0"/>
    <n v="13"/>
    <n v="50"/>
    <d v="2024-12-02T00:00:00"/>
    <n v="650"/>
  </r>
  <r>
    <n v="1030"/>
    <s v="Sanya Kapoor"/>
    <s v="South"/>
    <x v="1"/>
    <n v="32"/>
    <n v="10"/>
    <s v="13-02-2024"/>
    <n v="320"/>
  </r>
  <r>
    <n v="1031"/>
    <s v="Harsh Yadav"/>
    <s v="East"/>
    <x v="2"/>
    <n v="10"/>
    <n v="25"/>
    <s v="14-02-2024"/>
    <n v="250"/>
  </r>
  <r>
    <n v="1032"/>
    <s v="Kajal Rani"/>
    <s v="West"/>
    <x v="3"/>
    <n v="18"/>
    <n v="5"/>
    <s v="16-02-2024"/>
    <n v="90"/>
  </r>
  <r>
    <n v="1033"/>
    <s v="Varun Sharma"/>
    <s v="North"/>
    <x v="4"/>
    <n v="22"/>
    <n v="8"/>
    <s v="17-02-2024"/>
    <n v="176"/>
  </r>
  <r>
    <n v="1034"/>
    <s v="Swati Arora"/>
    <s v="South"/>
    <x v="0"/>
    <n v="17"/>
    <n v="50"/>
    <s v="18-02-2024"/>
    <n v="850"/>
  </r>
  <r>
    <n v="1035"/>
    <s v="Akhil Jain"/>
    <s v="East"/>
    <x v="1"/>
    <n v="19"/>
    <n v="10"/>
    <s v="19-02-2024"/>
    <n v="190"/>
  </r>
  <r>
    <n v="1036"/>
    <s v="Priyanka Das"/>
    <s v="West"/>
    <x v="2"/>
    <n v="15"/>
    <n v="25"/>
    <s v="21-02-2024"/>
    <n v="375"/>
  </r>
  <r>
    <n v="1037"/>
    <s v="Ravi Nair"/>
    <s v="North"/>
    <x v="3"/>
    <n v="28"/>
    <n v="5"/>
    <s v="22-02-2024"/>
    <n v="140"/>
  </r>
  <r>
    <n v="1038"/>
    <s v="Komal Singh"/>
    <s v="South"/>
    <x v="4"/>
    <n v="24"/>
    <n v="8"/>
    <s v="23-02-2024"/>
    <n v="192"/>
  </r>
  <r>
    <n v="1039"/>
    <s v="Ayesha Khan"/>
    <s v="East"/>
    <x v="0"/>
    <n v="16"/>
    <n v="50"/>
    <s v="25-02-2024"/>
    <n v="800"/>
  </r>
  <r>
    <n v="1040"/>
    <s v="Arjun Mehta"/>
    <s v="West"/>
    <x v="1"/>
    <n v="27"/>
    <n v="10"/>
    <s v="26-02-2024"/>
    <n v="270"/>
  </r>
  <r>
    <n v="1041"/>
    <s v="Sonali Gupta"/>
    <s v="North"/>
    <x v="2"/>
    <n v="21"/>
    <n v="25"/>
    <s v="27-02-2024"/>
    <n v="525"/>
  </r>
  <r>
    <n v="1042"/>
    <s v="Neeraj Kapoor"/>
    <s v="South"/>
    <x v="3"/>
    <n v="30"/>
    <n v="5"/>
    <s v="28-02-2024"/>
    <n v="150"/>
  </r>
  <r>
    <n v="1043"/>
    <s v="Shruti Sharma"/>
    <s v="East"/>
    <x v="4"/>
    <n v="26"/>
    <n v="8"/>
    <d v="2024-01-03T00:00:00"/>
    <n v="208"/>
  </r>
  <r>
    <n v="1044"/>
    <s v="Yash Arora"/>
    <s v="West"/>
    <x v="0"/>
    <n v="14"/>
    <n v="50"/>
    <d v="2024-02-03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4-03T00:00:00"/>
    <n v="425"/>
  </r>
  <r>
    <n v="1047"/>
    <s v="Sonia Verma"/>
    <s v="East"/>
    <x v="3"/>
    <n v="19"/>
    <n v="5"/>
    <d v="2024-05-03T00:00:00"/>
    <n v="95"/>
  </r>
  <r>
    <n v="1048"/>
    <s v="Kunal Singh"/>
    <s v="West"/>
    <x v="4"/>
    <n v="32"/>
    <n v="8"/>
    <d v="2024-06-03T00:00:00"/>
    <n v="256"/>
  </r>
  <r>
    <n v="1049"/>
    <s v="Ritika Jain"/>
    <s v="North"/>
    <x v="0"/>
    <n v="12"/>
    <n v="50"/>
    <d v="2024-07-03T00:00:00"/>
    <n v="600"/>
  </r>
  <r>
    <n v="1050"/>
    <s v="Vivek Malhotra"/>
    <s v="South"/>
    <x v="1"/>
    <n v="25"/>
    <n v="10"/>
    <d v="2024-08-03T00:00:00"/>
    <n v="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57F7E-C59C-477E-B1FB-AA943D9C783B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8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7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outline="0" fieldPosition="0">
        <references count="1">
          <reference field="3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Diksha.diksha@ih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E935-6E06-44AD-A7FF-702340E1B18F}">
  <dimension ref="A1:B30"/>
  <sheetViews>
    <sheetView workbookViewId="0">
      <selection activeCell="A14" sqref="A14"/>
    </sheetView>
  </sheetViews>
  <sheetFormatPr defaultRowHeight="14"/>
  <cols>
    <col min="1" max="1" width="74.08203125" bestFit="1" customWidth="1"/>
    <col min="2" max="2" width="96.9140625" bestFit="1" customWidth="1"/>
  </cols>
  <sheetData>
    <row r="1" spans="1:2">
      <c r="A1" s="5" t="s">
        <v>114</v>
      </c>
    </row>
    <row r="3" spans="1:2">
      <c r="A3" s="9" t="s">
        <v>117</v>
      </c>
      <c r="B3" t="s">
        <v>118</v>
      </c>
    </row>
    <row r="4" spans="1:2">
      <c r="A4" s="5" t="s">
        <v>119</v>
      </c>
    </row>
    <row r="5" spans="1:2">
      <c r="A5" t="s">
        <v>120</v>
      </c>
    </row>
    <row r="7" spans="1:2">
      <c r="A7" t="s">
        <v>121</v>
      </c>
    </row>
    <row r="9" spans="1:2">
      <c r="A9" s="9" t="s">
        <v>124</v>
      </c>
      <c r="B9" t="s">
        <v>123</v>
      </c>
    </row>
    <row r="11" spans="1:2">
      <c r="A11" s="5" t="s">
        <v>122</v>
      </c>
    </row>
    <row r="12" spans="1:2">
      <c r="A12" t="s">
        <v>125</v>
      </c>
    </row>
    <row r="14" spans="1:2">
      <c r="A14" t="s">
        <v>126</v>
      </c>
    </row>
    <row r="16" spans="1:2" ht="14.5">
      <c r="A16" s="9" t="s">
        <v>128</v>
      </c>
      <c r="B16" t="s">
        <v>129</v>
      </c>
    </row>
    <row r="19" spans="1:1">
      <c r="A19" s="5" t="s">
        <v>127</v>
      </c>
    </row>
    <row r="20" spans="1:1">
      <c r="A20" s="5" t="s">
        <v>130</v>
      </c>
    </row>
    <row r="21" spans="1:1">
      <c r="A21" s="10"/>
    </row>
    <row r="22" spans="1:1">
      <c r="A22" s="10" t="s">
        <v>131</v>
      </c>
    </row>
    <row r="23" spans="1:1">
      <c r="A23" s="10"/>
    </row>
    <row r="24" spans="1:1">
      <c r="A24" s="10" t="s">
        <v>132</v>
      </c>
    </row>
    <row r="26" spans="1:1">
      <c r="A26" s="5" t="s">
        <v>133</v>
      </c>
    </row>
    <row r="27" spans="1:1">
      <c r="A27" s="10"/>
    </row>
    <row r="28" spans="1:1">
      <c r="A28" s="10" t="s">
        <v>134</v>
      </c>
    </row>
    <row r="29" spans="1:1">
      <c r="A29" s="10"/>
    </row>
    <row r="30" spans="1:1">
      <c r="A30" s="10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5BDE-C348-4051-B7A8-0D06C25318F1}">
  <dimension ref="A1:D10"/>
  <sheetViews>
    <sheetView workbookViewId="0">
      <selection activeCell="A10" sqref="A10"/>
    </sheetView>
  </sheetViews>
  <sheetFormatPr defaultRowHeight="14"/>
  <cols>
    <col min="1" max="1" width="59.4140625" bestFit="1" customWidth="1"/>
    <col min="2" max="2" width="7.33203125" bestFit="1" customWidth="1"/>
    <col min="3" max="3" width="24.4140625" bestFit="1" customWidth="1"/>
    <col min="4" max="4" width="16.1640625" customWidth="1"/>
  </cols>
  <sheetData>
    <row r="1" spans="1:4" ht="14.5" thickBot="1">
      <c r="A1" s="11" t="s">
        <v>136</v>
      </c>
      <c r="B1" s="3"/>
    </row>
    <row r="2" spans="1:4" ht="14.5" thickBot="1">
      <c r="A2" s="2"/>
      <c r="B2" s="3"/>
    </row>
    <row r="3" spans="1:4" ht="14.5" thickBot="1">
      <c r="A3" s="1" t="s">
        <v>2</v>
      </c>
      <c r="B3" s="1" t="s">
        <v>3</v>
      </c>
      <c r="C3" s="9" t="s">
        <v>5</v>
      </c>
      <c r="D3">
        <f>SUM(B4:B5)</f>
        <v>510500</v>
      </c>
    </row>
    <row r="4" spans="1:4" ht="14.5" thickBot="1">
      <c r="A4" s="1" t="s">
        <v>0</v>
      </c>
      <c r="B4" s="1">
        <v>500000</v>
      </c>
    </row>
    <row r="5" spans="1:4" ht="14.5" thickBot="1">
      <c r="A5" s="1" t="s">
        <v>1</v>
      </c>
      <c r="B5" s="1">
        <v>10500</v>
      </c>
    </row>
    <row r="6" spans="1:4" ht="14.5" thickBot="1">
      <c r="A6" s="1" t="s">
        <v>4</v>
      </c>
      <c r="B6" s="1">
        <v>25000</v>
      </c>
    </row>
    <row r="9" spans="1:4">
      <c r="A9" s="12"/>
    </row>
    <row r="10" spans="1:4">
      <c r="A1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9ECA-D06D-4D3B-9890-483754543514}">
  <dimension ref="A1:F7"/>
  <sheetViews>
    <sheetView workbookViewId="0">
      <selection activeCell="F7" sqref="F7"/>
    </sheetView>
  </sheetViews>
  <sheetFormatPr defaultRowHeight="14"/>
  <cols>
    <col min="1" max="1" width="93.6640625" bestFit="1" customWidth="1"/>
    <col min="2" max="2" width="16.1640625" customWidth="1"/>
    <col min="3" max="3" width="30.1640625" customWidth="1"/>
  </cols>
  <sheetData>
    <row r="1" spans="1:6">
      <c r="A1" s="8" t="s">
        <v>137</v>
      </c>
    </row>
    <row r="2" spans="1:6">
      <c r="A2" s="13"/>
    </row>
    <row r="3" spans="1:6" ht="14.5" thickBot="1"/>
    <row r="4" spans="1:6" ht="14.5" thickBot="1">
      <c r="A4" s="1" t="s">
        <v>8</v>
      </c>
      <c r="B4" s="1" t="s">
        <v>3</v>
      </c>
      <c r="C4" s="1" t="s">
        <v>9</v>
      </c>
    </row>
    <row r="5" spans="1:6" ht="14.5" thickBot="1">
      <c r="A5" s="1" t="s">
        <v>10</v>
      </c>
      <c r="B5" s="1">
        <v>90</v>
      </c>
      <c r="C5" s="1">
        <v>1000</v>
      </c>
      <c r="E5" s="9" t="s">
        <v>113</v>
      </c>
      <c r="F5" s="6">
        <f>AVERAGEIFS($C$5:$C$7,B5:B7,"&gt;100",B5:B7,"&lt;300")</f>
        <v>1350</v>
      </c>
    </row>
    <row r="6" spans="1:6" ht="14.5" thickBot="1">
      <c r="A6" s="1" t="s">
        <v>11</v>
      </c>
      <c r="B6" s="1">
        <v>150</v>
      </c>
      <c r="C6" s="1">
        <v>1200</v>
      </c>
    </row>
    <row r="7" spans="1:6" ht="14.5" thickBot="1">
      <c r="A7" s="1" t="s">
        <v>12</v>
      </c>
      <c r="B7" s="1">
        <v>250</v>
      </c>
      <c r="C7" s="1">
        <v>1500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0986F-27F5-487F-B73E-5EC083727921}">
  <dimension ref="A1:B8"/>
  <sheetViews>
    <sheetView workbookViewId="0">
      <selection activeCell="B10" sqref="B10"/>
    </sheetView>
  </sheetViews>
  <sheetFormatPr defaultRowHeight="14"/>
  <cols>
    <col min="1" max="1" width="44.4140625" bestFit="1" customWidth="1"/>
    <col min="2" max="2" width="11.5" bestFit="1" customWidth="1"/>
  </cols>
  <sheetData>
    <row r="1" spans="1:2">
      <c r="A1" s="9" t="s">
        <v>110</v>
      </c>
    </row>
    <row r="3" spans="1:2">
      <c r="A3" s="14" t="s">
        <v>16</v>
      </c>
      <c r="B3" s="6" t="s">
        <v>111</v>
      </c>
    </row>
    <row r="4" spans="1:2">
      <c r="A4" s="6" t="s">
        <v>35</v>
      </c>
      <c r="B4" s="6">
        <v>1928</v>
      </c>
    </row>
    <row r="5" spans="1:2">
      <c r="A5" s="6" t="s">
        <v>28</v>
      </c>
      <c r="B5" s="6">
        <v>3650</v>
      </c>
    </row>
    <row r="6" spans="1:2">
      <c r="A6" s="6" t="s">
        <v>22</v>
      </c>
      <c r="B6" s="6">
        <v>7550</v>
      </c>
    </row>
    <row r="7" spans="1:2">
      <c r="A7" s="6" t="s">
        <v>25</v>
      </c>
      <c r="B7" s="6">
        <v>2180</v>
      </c>
    </row>
    <row r="8" spans="1:2">
      <c r="A8" s="6" t="s">
        <v>32</v>
      </c>
      <c r="B8" s="6">
        <v>1235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DC4D-4468-4BF5-9157-3AFF2154077D}">
  <dimension ref="A1:M51"/>
  <sheetViews>
    <sheetView tabSelected="1" topLeftCell="B7" workbookViewId="0">
      <selection activeCell="K20" sqref="K20"/>
    </sheetView>
  </sheetViews>
  <sheetFormatPr defaultRowHeight="14"/>
  <cols>
    <col min="1" max="1" width="7.5" bestFit="1" customWidth="1"/>
    <col min="2" max="2" width="14" bestFit="1" customWidth="1"/>
    <col min="3" max="3" width="6.4140625" bestFit="1" customWidth="1"/>
    <col min="4" max="4" width="9" bestFit="1" customWidth="1"/>
    <col min="5" max="5" width="8.1640625" bestFit="1" customWidth="1"/>
    <col min="6" max="6" width="8.4140625" bestFit="1" customWidth="1"/>
    <col min="7" max="7" width="10.08203125" bestFit="1" customWidth="1"/>
    <col min="8" max="8" width="8.1640625" bestFit="1" customWidth="1"/>
    <col min="9" max="9" width="10.08203125" bestFit="1" customWidth="1"/>
    <col min="11" max="11" width="10.08203125" customWidth="1"/>
    <col min="12" max="12" width="51.5" bestFit="1" customWidth="1"/>
    <col min="13" max="13" width="44.75" bestFit="1" customWidth="1"/>
  </cols>
  <sheetData>
    <row r="1" spans="1:13" ht="14.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17</v>
      </c>
      <c r="I1" s="15" t="s">
        <v>19</v>
      </c>
      <c r="J1" s="19" t="s">
        <v>9</v>
      </c>
      <c r="K1" s="22"/>
    </row>
    <row r="2" spans="1:13" ht="14.5">
      <c r="A2" s="16">
        <v>1001</v>
      </c>
      <c r="B2" s="17" t="s">
        <v>20</v>
      </c>
      <c r="C2" s="17" t="s">
        <v>21</v>
      </c>
      <c r="D2" s="17" t="s">
        <v>22</v>
      </c>
      <c r="E2" s="16">
        <v>10</v>
      </c>
      <c r="F2" s="16">
        <v>50</v>
      </c>
      <c r="G2" s="18">
        <v>45413</v>
      </c>
      <c r="H2" s="16">
        <v>10</v>
      </c>
      <c r="I2" s="18">
        <v>45413</v>
      </c>
      <c r="J2" s="6">
        <f t="shared" ref="J2:J33" si="0">E2*F2</f>
        <v>500</v>
      </c>
      <c r="K2" s="23"/>
      <c r="L2" s="5" t="s">
        <v>106</v>
      </c>
      <c r="M2" s="5" t="s">
        <v>107</v>
      </c>
    </row>
    <row r="3" spans="1:13" ht="14.5">
      <c r="A3" s="16">
        <v>1002</v>
      </c>
      <c r="B3" s="17" t="s">
        <v>23</v>
      </c>
      <c r="C3" s="17" t="s">
        <v>24</v>
      </c>
      <c r="D3" s="17" t="s">
        <v>25</v>
      </c>
      <c r="E3" s="16">
        <v>20</v>
      </c>
      <c r="F3" s="16">
        <v>10</v>
      </c>
      <c r="G3" s="18">
        <v>45444</v>
      </c>
      <c r="H3" s="16">
        <v>20</v>
      </c>
      <c r="I3" s="18">
        <v>45444</v>
      </c>
      <c r="J3" s="6">
        <f t="shared" si="0"/>
        <v>200</v>
      </c>
      <c r="K3" s="23"/>
      <c r="L3" s="8" t="s">
        <v>105</v>
      </c>
      <c r="M3">
        <f>COUNTA(B2:B51)</f>
        <v>50</v>
      </c>
    </row>
    <row r="4" spans="1:13" ht="14.5">
      <c r="A4" s="16">
        <v>1003</v>
      </c>
      <c r="B4" s="17" t="s">
        <v>26</v>
      </c>
      <c r="C4" s="17" t="s">
        <v>27</v>
      </c>
      <c r="D4" s="17" t="s">
        <v>28</v>
      </c>
      <c r="E4" s="16">
        <v>15</v>
      </c>
      <c r="F4" s="16">
        <v>25</v>
      </c>
      <c r="G4" s="18">
        <v>45474</v>
      </c>
      <c r="H4" s="16">
        <v>15</v>
      </c>
      <c r="I4" s="18">
        <v>45474</v>
      </c>
      <c r="J4" s="6">
        <f t="shared" si="0"/>
        <v>375</v>
      </c>
      <c r="K4" s="23"/>
      <c r="L4" s="8" t="s">
        <v>108</v>
      </c>
      <c r="M4">
        <f>SUMPRODUCT(E2:E51,F2:F51)</f>
        <v>16543</v>
      </c>
    </row>
    <row r="5" spans="1:13" ht="14.5">
      <c r="A5" s="16">
        <v>1004</v>
      </c>
      <c r="B5" s="17" t="s">
        <v>29</v>
      </c>
      <c r="C5" s="17" t="s">
        <v>30</v>
      </c>
      <c r="D5" s="17" t="s">
        <v>22</v>
      </c>
      <c r="E5" s="16">
        <v>5</v>
      </c>
      <c r="F5" s="16">
        <v>50</v>
      </c>
      <c r="G5" s="18">
        <v>45505</v>
      </c>
      <c r="H5" s="16">
        <v>5</v>
      </c>
      <c r="I5" s="18">
        <v>45505</v>
      </c>
      <c r="J5" s="6">
        <f t="shared" si="0"/>
        <v>250</v>
      </c>
      <c r="K5" s="23"/>
      <c r="L5" s="8" t="s">
        <v>109</v>
      </c>
      <c r="M5" s="7" t="s">
        <v>115</v>
      </c>
    </row>
    <row r="6" spans="1:13" ht="14.5">
      <c r="A6" s="16">
        <v>1005</v>
      </c>
      <c r="B6" s="17" t="s">
        <v>31</v>
      </c>
      <c r="C6" s="17" t="s">
        <v>21</v>
      </c>
      <c r="D6" s="17" t="s">
        <v>32</v>
      </c>
      <c r="E6" s="16">
        <v>30</v>
      </c>
      <c r="F6" s="16">
        <v>5</v>
      </c>
      <c r="G6" s="18">
        <v>45566</v>
      </c>
      <c r="H6" s="16">
        <v>30</v>
      </c>
      <c r="I6" s="18">
        <v>45566</v>
      </c>
      <c r="J6" s="6">
        <f t="shared" si="0"/>
        <v>150</v>
      </c>
      <c r="K6" s="23"/>
      <c r="L6" s="8" t="s">
        <v>110</v>
      </c>
    </row>
    <row r="7" spans="1:13" ht="14.5">
      <c r="A7" s="16">
        <v>1006</v>
      </c>
      <c r="B7" s="17" t="s">
        <v>33</v>
      </c>
      <c r="C7" s="17" t="s">
        <v>24</v>
      </c>
      <c r="D7" s="17" t="s">
        <v>22</v>
      </c>
      <c r="E7" s="16">
        <v>12</v>
      </c>
      <c r="F7" s="16">
        <v>50</v>
      </c>
      <c r="G7" s="18">
        <v>45597</v>
      </c>
      <c r="H7" s="16">
        <v>12</v>
      </c>
      <c r="I7" s="18">
        <v>45597</v>
      </c>
      <c r="J7" s="6">
        <f t="shared" si="0"/>
        <v>600</v>
      </c>
      <c r="K7" s="23"/>
      <c r="L7" s="8" t="s">
        <v>112</v>
      </c>
    </row>
    <row r="8" spans="1:13" ht="14.5">
      <c r="A8" s="16">
        <v>1007</v>
      </c>
      <c r="B8" s="17" t="s">
        <v>34</v>
      </c>
      <c r="C8" s="17" t="s">
        <v>27</v>
      </c>
      <c r="D8" s="17" t="s">
        <v>35</v>
      </c>
      <c r="E8" s="16">
        <v>25</v>
      </c>
      <c r="F8" s="16">
        <v>8</v>
      </c>
      <c r="G8" s="16" t="s">
        <v>36</v>
      </c>
      <c r="H8" s="16">
        <v>25</v>
      </c>
      <c r="I8" s="16" t="s">
        <v>36</v>
      </c>
      <c r="J8" s="6">
        <f t="shared" si="0"/>
        <v>200</v>
      </c>
      <c r="K8" s="24"/>
    </row>
    <row r="9" spans="1:13" ht="14.5">
      <c r="A9" s="16">
        <v>1008</v>
      </c>
      <c r="B9" s="17" t="s">
        <v>37</v>
      </c>
      <c r="C9" s="17" t="s">
        <v>30</v>
      </c>
      <c r="D9" s="17" t="s">
        <v>25</v>
      </c>
      <c r="E9" s="16">
        <v>18</v>
      </c>
      <c r="F9" s="16">
        <v>10</v>
      </c>
      <c r="G9" s="16" t="s">
        <v>38</v>
      </c>
      <c r="H9" s="16">
        <v>18</v>
      </c>
      <c r="I9" s="16" t="s">
        <v>38</v>
      </c>
      <c r="J9" s="6">
        <f t="shared" si="0"/>
        <v>180</v>
      </c>
      <c r="K9" s="24"/>
      <c r="L9" s="20" t="s">
        <v>116</v>
      </c>
    </row>
    <row r="10" spans="1:13" ht="14.5">
      <c r="A10" s="16">
        <v>1009</v>
      </c>
      <c r="B10" s="17" t="s">
        <v>39</v>
      </c>
      <c r="C10" s="17" t="s">
        <v>21</v>
      </c>
      <c r="D10" s="17" t="s">
        <v>28</v>
      </c>
      <c r="E10" s="16">
        <v>22</v>
      </c>
      <c r="F10" s="16">
        <v>25</v>
      </c>
      <c r="G10" s="16" t="s">
        <v>40</v>
      </c>
      <c r="H10" s="16">
        <v>22</v>
      </c>
      <c r="I10" s="16" t="s">
        <v>40</v>
      </c>
      <c r="J10" s="6">
        <f t="shared" si="0"/>
        <v>550</v>
      </c>
      <c r="K10" s="24"/>
    </row>
    <row r="11" spans="1:13" ht="14.5">
      <c r="A11" s="16">
        <v>1010</v>
      </c>
      <c r="B11" s="17" t="s">
        <v>41</v>
      </c>
      <c r="C11" s="17" t="s">
        <v>24</v>
      </c>
      <c r="D11" s="17" t="s">
        <v>22</v>
      </c>
      <c r="E11" s="16">
        <v>8</v>
      </c>
      <c r="F11" s="16">
        <v>50</v>
      </c>
      <c r="G11" s="16" t="s">
        <v>42</v>
      </c>
      <c r="H11" s="16">
        <v>8</v>
      </c>
      <c r="I11" s="16" t="s">
        <v>42</v>
      </c>
      <c r="J11" s="6">
        <f t="shared" si="0"/>
        <v>400</v>
      </c>
      <c r="K11" s="24"/>
    </row>
    <row r="12" spans="1:13" ht="14.5">
      <c r="A12" s="16">
        <v>1011</v>
      </c>
      <c r="B12" s="17" t="s">
        <v>43</v>
      </c>
      <c r="C12" s="17" t="s">
        <v>27</v>
      </c>
      <c r="D12" s="17" t="s">
        <v>32</v>
      </c>
      <c r="E12" s="16">
        <v>40</v>
      </c>
      <c r="F12" s="16">
        <v>5</v>
      </c>
      <c r="G12" s="16" t="s">
        <v>44</v>
      </c>
      <c r="H12" s="16">
        <v>40</v>
      </c>
      <c r="I12" s="16" t="s">
        <v>44</v>
      </c>
      <c r="J12" s="6">
        <f t="shared" si="0"/>
        <v>200</v>
      </c>
      <c r="K12" s="24"/>
    </row>
    <row r="13" spans="1:13" ht="14.5">
      <c r="A13" s="16">
        <v>1012</v>
      </c>
      <c r="B13" s="17" t="s">
        <v>45</v>
      </c>
      <c r="C13" s="17" t="s">
        <v>30</v>
      </c>
      <c r="D13" s="17" t="s">
        <v>35</v>
      </c>
      <c r="E13" s="16">
        <v>35</v>
      </c>
      <c r="F13" s="16">
        <v>8</v>
      </c>
      <c r="G13" s="16" t="s">
        <v>46</v>
      </c>
      <c r="H13" s="16">
        <v>35</v>
      </c>
      <c r="I13" s="16" t="s">
        <v>46</v>
      </c>
      <c r="J13" s="6">
        <f t="shared" si="0"/>
        <v>280</v>
      </c>
      <c r="K13" s="24"/>
    </row>
    <row r="14" spans="1:13" ht="14.5">
      <c r="A14" s="16">
        <v>1013</v>
      </c>
      <c r="B14" s="17" t="s">
        <v>47</v>
      </c>
      <c r="C14" s="17" t="s">
        <v>21</v>
      </c>
      <c r="D14" s="17" t="s">
        <v>22</v>
      </c>
      <c r="E14" s="16">
        <v>14</v>
      </c>
      <c r="F14" s="16">
        <v>50</v>
      </c>
      <c r="G14" s="16" t="s">
        <v>48</v>
      </c>
      <c r="H14" s="16">
        <v>14</v>
      </c>
      <c r="I14" s="16" t="s">
        <v>48</v>
      </c>
      <c r="J14" s="6">
        <f t="shared" si="0"/>
        <v>700</v>
      </c>
      <c r="K14" s="24"/>
    </row>
    <row r="15" spans="1:13" ht="14.5">
      <c r="A15" s="16">
        <v>1014</v>
      </c>
      <c r="B15" s="17" t="s">
        <v>49</v>
      </c>
      <c r="C15" s="17" t="s">
        <v>24</v>
      </c>
      <c r="D15" s="17" t="s">
        <v>25</v>
      </c>
      <c r="E15" s="16">
        <v>28</v>
      </c>
      <c r="F15" s="16">
        <v>10</v>
      </c>
      <c r="G15" s="16" t="s">
        <v>50</v>
      </c>
      <c r="H15" s="16">
        <v>28</v>
      </c>
      <c r="I15" s="16" t="s">
        <v>50</v>
      </c>
      <c r="J15" s="6">
        <f t="shared" si="0"/>
        <v>280</v>
      </c>
      <c r="K15" s="24"/>
    </row>
    <row r="16" spans="1:13" ht="14.5">
      <c r="A16" s="16">
        <v>1015</v>
      </c>
      <c r="B16" s="17" t="s">
        <v>51</v>
      </c>
      <c r="C16" s="17" t="s">
        <v>27</v>
      </c>
      <c r="D16" s="17" t="s">
        <v>28</v>
      </c>
      <c r="E16" s="16">
        <v>12</v>
      </c>
      <c r="F16" s="16">
        <v>25</v>
      </c>
      <c r="G16" s="16" t="s">
        <v>52</v>
      </c>
      <c r="H16" s="16">
        <v>12</v>
      </c>
      <c r="I16" s="16" t="s">
        <v>52</v>
      </c>
      <c r="J16" s="6">
        <f t="shared" si="0"/>
        <v>300</v>
      </c>
      <c r="K16" s="24"/>
    </row>
    <row r="17" spans="1:11" ht="14.5">
      <c r="A17" s="16">
        <v>1016</v>
      </c>
      <c r="B17" s="17" t="s">
        <v>53</v>
      </c>
      <c r="C17" s="17" t="s">
        <v>30</v>
      </c>
      <c r="D17" s="17" t="s">
        <v>32</v>
      </c>
      <c r="E17" s="16">
        <v>25</v>
      </c>
      <c r="F17" s="16">
        <v>5</v>
      </c>
      <c r="G17" s="16" t="s">
        <v>54</v>
      </c>
      <c r="H17" s="16">
        <v>25</v>
      </c>
      <c r="I17" s="16" t="s">
        <v>54</v>
      </c>
      <c r="J17" s="6">
        <f t="shared" si="0"/>
        <v>125</v>
      </c>
      <c r="K17" s="24"/>
    </row>
    <row r="18" spans="1:11" ht="14.5">
      <c r="A18" s="16">
        <v>1017</v>
      </c>
      <c r="B18" s="17" t="s">
        <v>55</v>
      </c>
      <c r="C18" s="17" t="s">
        <v>21</v>
      </c>
      <c r="D18" s="17" t="s">
        <v>35</v>
      </c>
      <c r="E18" s="16">
        <v>20</v>
      </c>
      <c r="F18" s="16">
        <v>8</v>
      </c>
      <c r="G18" s="16" t="s">
        <v>56</v>
      </c>
      <c r="H18" s="16">
        <v>20</v>
      </c>
      <c r="I18" s="16" t="s">
        <v>56</v>
      </c>
      <c r="J18" s="6">
        <f t="shared" si="0"/>
        <v>160</v>
      </c>
      <c r="K18" s="24"/>
    </row>
    <row r="19" spans="1:11" ht="14.5">
      <c r="A19" s="16">
        <v>1018</v>
      </c>
      <c r="B19" s="17" t="s">
        <v>57</v>
      </c>
      <c r="C19" s="17" t="s">
        <v>24</v>
      </c>
      <c r="D19" s="17" t="s">
        <v>22</v>
      </c>
      <c r="E19" s="16">
        <v>10</v>
      </c>
      <c r="F19" s="16">
        <v>50</v>
      </c>
      <c r="G19" s="16" t="s">
        <v>58</v>
      </c>
      <c r="H19" s="16">
        <v>10</v>
      </c>
      <c r="I19" s="16" t="s">
        <v>58</v>
      </c>
      <c r="J19" s="6">
        <f t="shared" si="0"/>
        <v>500</v>
      </c>
      <c r="K19" s="24"/>
    </row>
    <row r="20" spans="1:11" ht="14.5">
      <c r="A20" s="16">
        <v>1019</v>
      </c>
      <c r="B20" s="17" t="s">
        <v>59</v>
      </c>
      <c r="C20" s="17" t="s">
        <v>27</v>
      </c>
      <c r="D20" s="17" t="s">
        <v>25</v>
      </c>
      <c r="E20" s="16">
        <v>15</v>
      </c>
      <c r="F20" s="16">
        <v>10</v>
      </c>
      <c r="G20" s="16" t="s">
        <v>60</v>
      </c>
      <c r="H20" s="16">
        <v>15</v>
      </c>
      <c r="I20" s="16" t="s">
        <v>60</v>
      </c>
      <c r="J20" s="6">
        <f t="shared" si="0"/>
        <v>150</v>
      </c>
      <c r="K20" s="24"/>
    </row>
    <row r="21" spans="1:11" ht="14.5">
      <c r="A21" s="16">
        <v>1020</v>
      </c>
      <c r="B21" s="17" t="s">
        <v>61</v>
      </c>
      <c r="C21" s="17" t="s">
        <v>30</v>
      </c>
      <c r="D21" s="17" t="s">
        <v>28</v>
      </c>
      <c r="E21" s="16">
        <v>18</v>
      </c>
      <c r="F21" s="16">
        <v>25</v>
      </c>
      <c r="G21" s="18">
        <v>45293</v>
      </c>
      <c r="H21" s="16">
        <v>18</v>
      </c>
      <c r="I21" s="18">
        <v>45293</v>
      </c>
      <c r="J21" s="6">
        <f t="shared" si="0"/>
        <v>450</v>
      </c>
      <c r="K21" s="23"/>
    </row>
    <row r="22" spans="1:11" ht="14.5">
      <c r="A22" s="16">
        <v>1021</v>
      </c>
      <c r="B22" s="17" t="s">
        <v>62</v>
      </c>
      <c r="C22" s="17" t="s">
        <v>21</v>
      </c>
      <c r="D22" s="17" t="s">
        <v>22</v>
      </c>
      <c r="E22" s="16">
        <v>9</v>
      </c>
      <c r="F22" s="16">
        <v>50</v>
      </c>
      <c r="G22" s="18">
        <v>45324</v>
      </c>
      <c r="H22" s="16">
        <v>9</v>
      </c>
      <c r="I22" s="18">
        <v>45324</v>
      </c>
      <c r="J22" s="6">
        <f t="shared" si="0"/>
        <v>450</v>
      </c>
      <c r="K22" s="23"/>
    </row>
    <row r="23" spans="1:11" ht="14.5">
      <c r="A23" s="16">
        <v>1022</v>
      </c>
      <c r="B23" s="17" t="s">
        <v>63</v>
      </c>
      <c r="C23" s="17" t="s">
        <v>24</v>
      </c>
      <c r="D23" s="17" t="s">
        <v>32</v>
      </c>
      <c r="E23" s="16">
        <v>35</v>
      </c>
      <c r="F23" s="16">
        <v>5</v>
      </c>
      <c r="G23" s="18">
        <v>45353</v>
      </c>
      <c r="H23" s="16">
        <v>35</v>
      </c>
      <c r="I23" s="18">
        <v>45353</v>
      </c>
      <c r="J23" s="6">
        <f t="shared" si="0"/>
        <v>175</v>
      </c>
      <c r="K23" s="23"/>
    </row>
    <row r="24" spans="1:11" ht="14.5">
      <c r="A24" s="16">
        <v>1023</v>
      </c>
      <c r="B24" s="17" t="s">
        <v>64</v>
      </c>
      <c r="C24" s="17" t="s">
        <v>27</v>
      </c>
      <c r="D24" s="17" t="s">
        <v>35</v>
      </c>
      <c r="E24" s="16">
        <v>30</v>
      </c>
      <c r="F24" s="16">
        <v>8</v>
      </c>
      <c r="G24" s="18">
        <v>45384</v>
      </c>
      <c r="H24" s="16">
        <v>30</v>
      </c>
      <c r="I24" s="18">
        <v>45384</v>
      </c>
      <c r="J24" s="6">
        <f t="shared" si="0"/>
        <v>240</v>
      </c>
      <c r="K24" s="23"/>
    </row>
    <row r="25" spans="1:11" ht="14.5">
      <c r="A25" s="16">
        <v>1024</v>
      </c>
      <c r="B25" s="17" t="s">
        <v>65</v>
      </c>
      <c r="C25" s="17" t="s">
        <v>30</v>
      </c>
      <c r="D25" s="17" t="s">
        <v>22</v>
      </c>
      <c r="E25" s="16">
        <v>11</v>
      </c>
      <c r="F25" s="16">
        <v>50</v>
      </c>
      <c r="G25" s="18">
        <v>45445</v>
      </c>
      <c r="H25" s="16">
        <v>11</v>
      </c>
      <c r="I25" s="18">
        <v>45445</v>
      </c>
      <c r="J25" s="6">
        <f t="shared" si="0"/>
        <v>550</v>
      </c>
      <c r="K25" s="23"/>
    </row>
    <row r="26" spans="1:11" ht="14.5">
      <c r="A26" s="16">
        <v>1025</v>
      </c>
      <c r="B26" s="17" t="s">
        <v>66</v>
      </c>
      <c r="C26" s="17" t="s">
        <v>21</v>
      </c>
      <c r="D26" s="17" t="s">
        <v>25</v>
      </c>
      <c r="E26" s="16">
        <v>14</v>
      </c>
      <c r="F26" s="16">
        <v>10</v>
      </c>
      <c r="G26" s="18">
        <v>45475</v>
      </c>
      <c r="H26" s="16">
        <v>14</v>
      </c>
      <c r="I26" s="18">
        <v>45475</v>
      </c>
      <c r="J26" s="6">
        <f t="shared" si="0"/>
        <v>140</v>
      </c>
      <c r="K26" s="23"/>
    </row>
    <row r="27" spans="1:11" ht="14.5">
      <c r="A27" s="16">
        <v>1026</v>
      </c>
      <c r="B27" s="17" t="s">
        <v>67</v>
      </c>
      <c r="C27" s="17" t="s">
        <v>24</v>
      </c>
      <c r="D27" s="17" t="s">
        <v>28</v>
      </c>
      <c r="E27" s="16">
        <v>16</v>
      </c>
      <c r="F27" s="16">
        <v>25</v>
      </c>
      <c r="G27" s="18">
        <v>45506</v>
      </c>
      <c r="H27" s="16">
        <v>16</v>
      </c>
      <c r="I27" s="18">
        <v>45506</v>
      </c>
      <c r="J27" s="6">
        <f t="shared" si="0"/>
        <v>400</v>
      </c>
      <c r="K27" s="23"/>
    </row>
    <row r="28" spans="1:11" ht="14.5">
      <c r="A28" s="16">
        <v>1027</v>
      </c>
      <c r="B28" s="17" t="s">
        <v>68</v>
      </c>
      <c r="C28" s="17" t="s">
        <v>27</v>
      </c>
      <c r="D28" s="17" t="s">
        <v>32</v>
      </c>
      <c r="E28" s="16">
        <v>22</v>
      </c>
      <c r="F28" s="16">
        <v>5</v>
      </c>
      <c r="G28" s="18">
        <v>45537</v>
      </c>
      <c r="H28" s="16">
        <v>22</v>
      </c>
      <c r="I28" s="18">
        <v>45537</v>
      </c>
      <c r="J28" s="6">
        <f t="shared" si="0"/>
        <v>110</v>
      </c>
      <c r="K28" s="23"/>
    </row>
    <row r="29" spans="1:11" ht="14.5">
      <c r="A29" s="16">
        <v>1028</v>
      </c>
      <c r="B29" s="17" t="s">
        <v>69</v>
      </c>
      <c r="C29" s="17" t="s">
        <v>30</v>
      </c>
      <c r="D29" s="17" t="s">
        <v>35</v>
      </c>
      <c r="E29" s="16">
        <v>27</v>
      </c>
      <c r="F29" s="16">
        <v>8</v>
      </c>
      <c r="G29" s="18">
        <v>45567</v>
      </c>
      <c r="H29" s="16">
        <v>27</v>
      </c>
      <c r="I29" s="18">
        <v>45567</v>
      </c>
      <c r="J29" s="6">
        <f t="shared" si="0"/>
        <v>216</v>
      </c>
      <c r="K29" s="23"/>
    </row>
    <row r="30" spans="1:11" ht="14.5">
      <c r="A30" s="16">
        <v>1029</v>
      </c>
      <c r="B30" s="17" t="s">
        <v>70</v>
      </c>
      <c r="C30" s="17" t="s">
        <v>21</v>
      </c>
      <c r="D30" s="17" t="s">
        <v>22</v>
      </c>
      <c r="E30" s="16">
        <v>13</v>
      </c>
      <c r="F30" s="16">
        <v>50</v>
      </c>
      <c r="G30" s="18">
        <v>45628</v>
      </c>
      <c r="H30" s="16">
        <v>13</v>
      </c>
      <c r="I30" s="18">
        <v>45628</v>
      </c>
      <c r="J30" s="6">
        <f t="shared" si="0"/>
        <v>650</v>
      </c>
      <c r="K30" s="23"/>
    </row>
    <row r="31" spans="1:11" ht="14.5">
      <c r="A31" s="16">
        <v>1030</v>
      </c>
      <c r="B31" s="17" t="s">
        <v>71</v>
      </c>
      <c r="C31" s="17" t="s">
        <v>24</v>
      </c>
      <c r="D31" s="17" t="s">
        <v>25</v>
      </c>
      <c r="E31" s="16">
        <v>32</v>
      </c>
      <c r="F31" s="16">
        <v>10</v>
      </c>
      <c r="G31" s="16" t="s">
        <v>72</v>
      </c>
      <c r="H31" s="16">
        <v>32</v>
      </c>
      <c r="I31" s="16" t="s">
        <v>72</v>
      </c>
      <c r="J31" s="6">
        <f t="shared" si="0"/>
        <v>320</v>
      </c>
      <c r="K31" s="24"/>
    </row>
    <row r="32" spans="1:11" ht="14.5">
      <c r="A32" s="16">
        <v>1031</v>
      </c>
      <c r="B32" s="17" t="s">
        <v>73</v>
      </c>
      <c r="C32" s="17" t="s">
        <v>27</v>
      </c>
      <c r="D32" s="17" t="s">
        <v>28</v>
      </c>
      <c r="E32" s="16">
        <v>10</v>
      </c>
      <c r="F32" s="16">
        <v>25</v>
      </c>
      <c r="G32" s="16" t="s">
        <v>74</v>
      </c>
      <c r="H32" s="16">
        <v>10</v>
      </c>
      <c r="I32" s="16" t="s">
        <v>74</v>
      </c>
      <c r="J32" s="6">
        <f t="shared" si="0"/>
        <v>250</v>
      </c>
      <c r="K32" s="24"/>
    </row>
    <row r="33" spans="1:11" ht="14.5">
      <c r="A33" s="16">
        <v>1032</v>
      </c>
      <c r="B33" s="17" t="s">
        <v>75</v>
      </c>
      <c r="C33" s="17" t="s">
        <v>30</v>
      </c>
      <c r="D33" s="17" t="s">
        <v>32</v>
      </c>
      <c r="E33" s="16">
        <v>18</v>
      </c>
      <c r="F33" s="16">
        <v>5</v>
      </c>
      <c r="G33" s="16" t="s">
        <v>76</v>
      </c>
      <c r="H33" s="16">
        <v>18</v>
      </c>
      <c r="I33" s="16" t="s">
        <v>76</v>
      </c>
      <c r="J33" s="6">
        <f t="shared" si="0"/>
        <v>90</v>
      </c>
      <c r="K33" s="24"/>
    </row>
    <row r="34" spans="1:11" ht="14.5">
      <c r="A34" s="16">
        <v>1033</v>
      </c>
      <c r="B34" s="17" t="s">
        <v>77</v>
      </c>
      <c r="C34" s="17" t="s">
        <v>21</v>
      </c>
      <c r="D34" s="17" t="s">
        <v>35</v>
      </c>
      <c r="E34" s="16">
        <v>22</v>
      </c>
      <c r="F34" s="16">
        <v>8</v>
      </c>
      <c r="G34" s="16" t="s">
        <v>78</v>
      </c>
      <c r="H34" s="16">
        <v>22</v>
      </c>
      <c r="I34" s="16" t="s">
        <v>78</v>
      </c>
      <c r="J34" s="6">
        <f t="shared" ref="J34:J51" si="1">E34*F34</f>
        <v>176</v>
      </c>
      <c r="K34" s="24"/>
    </row>
    <row r="35" spans="1:11" ht="14.5">
      <c r="A35" s="16">
        <v>1034</v>
      </c>
      <c r="B35" s="17" t="s">
        <v>79</v>
      </c>
      <c r="C35" s="17" t="s">
        <v>24</v>
      </c>
      <c r="D35" s="17" t="s">
        <v>22</v>
      </c>
      <c r="E35" s="16">
        <v>17</v>
      </c>
      <c r="F35" s="16">
        <v>50</v>
      </c>
      <c r="G35" s="16" t="s">
        <v>80</v>
      </c>
      <c r="H35" s="16">
        <v>17</v>
      </c>
      <c r="I35" s="16" t="s">
        <v>80</v>
      </c>
      <c r="J35" s="6">
        <f t="shared" si="1"/>
        <v>850</v>
      </c>
      <c r="K35" s="24"/>
    </row>
    <row r="36" spans="1:11" ht="14.5">
      <c r="A36" s="16">
        <v>1035</v>
      </c>
      <c r="B36" s="17" t="s">
        <v>81</v>
      </c>
      <c r="C36" s="17" t="s">
        <v>27</v>
      </c>
      <c r="D36" s="17" t="s">
        <v>25</v>
      </c>
      <c r="E36" s="16">
        <v>19</v>
      </c>
      <c r="F36" s="16">
        <v>10</v>
      </c>
      <c r="G36" s="16" t="s">
        <v>82</v>
      </c>
      <c r="H36" s="16">
        <v>19</v>
      </c>
      <c r="I36" s="16" t="s">
        <v>82</v>
      </c>
      <c r="J36" s="6">
        <f t="shared" si="1"/>
        <v>190</v>
      </c>
      <c r="K36" s="24"/>
    </row>
    <row r="37" spans="1:11" ht="14.5">
      <c r="A37" s="16">
        <v>1036</v>
      </c>
      <c r="B37" s="17" t="s">
        <v>83</v>
      </c>
      <c r="C37" s="17" t="s">
        <v>30</v>
      </c>
      <c r="D37" s="17" t="s">
        <v>28</v>
      </c>
      <c r="E37" s="16">
        <v>15</v>
      </c>
      <c r="F37" s="16">
        <v>25</v>
      </c>
      <c r="G37" s="16" t="s">
        <v>84</v>
      </c>
      <c r="H37" s="16">
        <v>15</v>
      </c>
      <c r="I37" s="16" t="s">
        <v>84</v>
      </c>
      <c r="J37" s="6">
        <f t="shared" si="1"/>
        <v>375</v>
      </c>
      <c r="K37" s="24"/>
    </row>
    <row r="38" spans="1:11" ht="14.5">
      <c r="A38" s="16">
        <v>1037</v>
      </c>
      <c r="B38" s="17" t="s">
        <v>85</v>
      </c>
      <c r="C38" s="17" t="s">
        <v>21</v>
      </c>
      <c r="D38" s="17" t="s">
        <v>32</v>
      </c>
      <c r="E38" s="16">
        <v>28</v>
      </c>
      <c r="F38" s="16">
        <v>5</v>
      </c>
      <c r="G38" s="16" t="s">
        <v>86</v>
      </c>
      <c r="H38" s="16">
        <v>28</v>
      </c>
      <c r="I38" s="16" t="s">
        <v>86</v>
      </c>
      <c r="J38" s="6">
        <f t="shared" si="1"/>
        <v>140</v>
      </c>
      <c r="K38" s="24"/>
    </row>
    <row r="39" spans="1:11" ht="14.5">
      <c r="A39" s="16">
        <v>1038</v>
      </c>
      <c r="B39" s="17" t="s">
        <v>87</v>
      </c>
      <c r="C39" s="17" t="s">
        <v>24</v>
      </c>
      <c r="D39" s="17" t="s">
        <v>35</v>
      </c>
      <c r="E39" s="16">
        <v>24</v>
      </c>
      <c r="F39" s="16">
        <v>8</v>
      </c>
      <c r="G39" s="16" t="s">
        <v>88</v>
      </c>
      <c r="H39" s="16">
        <v>24</v>
      </c>
      <c r="I39" s="16" t="s">
        <v>88</v>
      </c>
      <c r="J39" s="6">
        <f t="shared" si="1"/>
        <v>192</v>
      </c>
      <c r="K39" s="24"/>
    </row>
    <row r="40" spans="1:11" ht="14.5">
      <c r="A40" s="16">
        <v>1039</v>
      </c>
      <c r="B40" s="17" t="s">
        <v>89</v>
      </c>
      <c r="C40" s="17" t="s">
        <v>27</v>
      </c>
      <c r="D40" s="17" t="s">
        <v>22</v>
      </c>
      <c r="E40" s="16">
        <v>16</v>
      </c>
      <c r="F40" s="16">
        <v>50</v>
      </c>
      <c r="G40" s="16" t="s">
        <v>90</v>
      </c>
      <c r="H40" s="16">
        <v>16</v>
      </c>
      <c r="I40" s="16" t="s">
        <v>90</v>
      </c>
      <c r="J40" s="6">
        <f t="shared" si="1"/>
        <v>800</v>
      </c>
      <c r="K40" s="24"/>
    </row>
    <row r="41" spans="1:11" ht="14.5">
      <c r="A41" s="16">
        <v>1040</v>
      </c>
      <c r="B41" s="17" t="s">
        <v>91</v>
      </c>
      <c r="C41" s="17" t="s">
        <v>30</v>
      </c>
      <c r="D41" s="17" t="s">
        <v>25</v>
      </c>
      <c r="E41" s="16">
        <v>27</v>
      </c>
      <c r="F41" s="16">
        <v>10</v>
      </c>
      <c r="G41" s="16" t="s">
        <v>92</v>
      </c>
      <c r="H41" s="16">
        <v>27</v>
      </c>
      <c r="I41" s="16" t="s">
        <v>92</v>
      </c>
      <c r="J41" s="6">
        <f t="shared" si="1"/>
        <v>270</v>
      </c>
      <c r="K41" s="24"/>
    </row>
    <row r="42" spans="1:11" ht="14.5">
      <c r="A42" s="16">
        <v>1041</v>
      </c>
      <c r="B42" s="17" t="s">
        <v>93</v>
      </c>
      <c r="C42" s="17" t="s">
        <v>21</v>
      </c>
      <c r="D42" s="17" t="s">
        <v>28</v>
      </c>
      <c r="E42" s="16">
        <v>21</v>
      </c>
      <c r="F42" s="16">
        <v>25</v>
      </c>
      <c r="G42" s="16" t="s">
        <v>94</v>
      </c>
      <c r="H42" s="16">
        <v>21</v>
      </c>
      <c r="I42" s="16" t="s">
        <v>94</v>
      </c>
      <c r="J42" s="6">
        <f t="shared" si="1"/>
        <v>525</v>
      </c>
      <c r="K42" s="24"/>
    </row>
    <row r="43" spans="1:11" ht="14.5">
      <c r="A43" s="16">
        <v>1042</v>
      </c>
      <c r="B43" s="17" t="s">
        <v>95</v>
      </c>
      <c r="C43" s="17" t="s">
        <v>24</v>
      </c>
      <c r="D43" s="17" t="s">
        <v>32</v>
      </c>
      <c r="E43" s="16">
        <v>30</v>
      </c>
      <c r="F43" s="16">
        <v>5</v>
      </c>
      <c r="G43" s="16" t="s">
        <v>96</v>
      </c>
      <c r="H43" s="16">
        <v>30</v>
      </c>
      <c r="I43" s="16" t="s">
        <v>96</v>
      </c>
      <c r="J43" s="6">
        <f t="shared" si="1"/>
        <v>150</v>
      </c>
      <c r="K43" s="24"/>
    </row>
    <row r="44" spans="1:11" ht="14.5">
      <c r="A44" s="16">
        <v>1043</v>
      </c>
      <c r="B44" s="17" t="s">
        <v>97</v>
      </c>
      <c r="C44" s="17" t="s">
        <v>27</v>
      </c>
      <c r="D44" s="17" t="s">
        <v>35</v>
      </c>
      <c r="E44" s="16">
        <v>26</v>
      </c>
      <c r="F44" s="16">
        <v>8</v>
      </c>
      <c r="G44" s="18">
        <v>45294</v>
      </c>
      <c r="H44" s="16">
        <v>26</v>
      </c>
      <c r="I44" s="18">
        <v>45294</v>
      </c>
      <c r="J44" s="6">
        <f t="shared" si="1"/>
        <v>208</v>
      </c>
      <c r="K44" s="23"/>
    </row>
    <row r="45" spans="1:11" ht="14.5">
      <c r="A45" s="16">
        <v>1044</v>
      </c>
      <c r="B45" s="17" t="s">
        <v>98</v>
      </c>
      <c r="C45" s="17" t="s">
        <v>30</v>
      </c>
      <c r="D45" s="17" t="s">
        <v>22</v>
      </c>
      <c r="E45" s="16">
        <v>14</v>
      </c>
      <c r="F45" s="16">
        <v>50</v>
      </c>
      <c r="G45" s="18">
        <v>45325</v>
      </c>
      <c r="H45" s="16">
        <v>14</v>
      </c>
      <c r="I45" s="18">
        <v>45325</v>
      </c>
      <c r="J45" s="6">
        <f t="shared" si="1"/>
        <v>700</v>
      </c>
      <c r="K45" s="23"/>
    </row>
    <row r="46" spans="1:11" ht="14.5">
      <c r="A46" s="16">
        <v>1045</v>
      </c>
      <c r="B46" s="17" t="s">
        <v>99</v>
      </c>
      <c r="C46" s="17" t="s">
        <v>21</v>
      </c>
      <c r="D46" s="17" t="s">
        <v>25</v>
      </c>
      <c r="E46" s="16">
        <v>20</v>
      </c>
      <c r="F46" s="16">
        <v>10</v>
      </c>
      <c r="G46" s="18">
        <v>45354</v>
      </c>
      <c r="H46" s="16">
        <v>20</v>
      </c>
      <c r="I46" s="18">
        <v>45354</v>
      </c>
      <c r="J46" s="6">
        <f t="shared" si="1"/>
        <v>200</v>
      </c>
      <c r="K46" s="23"/>
    </row>
    <row r="47" spans="1:11" ht="14.5">
      <c r="A47" s="16">
        <v>1046</v>
      </c>
      <c r="B47" s="17" t="s">
        <v>100</v>
      </c>
      <c r="C47" s="17" t="s">
        <v>24</v>
      </c>
      <c r="D47" s="17" t="s">
        <v>28</v>
      </c>
      <c r="E47" s="16">
        <v>17</v>
      </c>
      <c r="F47" s="16">
        <v>25</v>
      </c>
      <c r="G47" s="18">
        <v>45385</v>
      </c>
      <c r="H47" s="16">
        <v>17</v>
      </c>
      <c r="I47" s="18">
        <v>45385</v>
      </c>
      <c r="J47" s="6">
        <f t="shared" si="1"/>
        <v>425</v>
      </c>
      <c r="K47" s="23"/>
    </row>
    <row r="48" spans="1:11" ht="14.5">
      <c r="A48" s="16">
        <v>1047</v>
      </c>
      <c r="B48" s="17" t="s">
        <v>101</v>
      </c>
      <c r="C48" s="17" t="s">
        <v>27</v>
      </c>
      <c r="D48" s="17" t="s">
        <v>32</v>
      </c>
      <c r="E48" s="16">
        <v>19</v>
      </c>
      <c r="F48" s="16">
        <v>5</v>
      </c>
      <c r="G48" s="18">
        <v>45415</v>
      </c>
      <c r="H48" s="16">
        <v>19</v>
      </c>
      <c r="I48" s="18">
        <v>45415</v>
      </c>
      <c r="J48" s="6">
        <f t="shared" si="1"/>
        <v>95</v>
      </c>
      <c r="K48" s="23"/>
    </row>
    <row r="49" spans="1:11" ht="14.5">
      <c r="A49" s="16">
        <v>1048</v>
      </c>
      <c r="B49" s="17" t="s">
        <v>102</v>
      </c>
      <c r="C49" s="17" t="s">
        <v>30</v>
      </c>
      <c r="D49" s="17" t="s">
        <v>35</v>
      </c>
      <c r="E49" s="16">
        <v>32</v>
      </c>
      <c r="F49" s="16">
        <v>8</v>
      </c>
      <c r="G49" s="18">
        <v>45446</v>
      </c>
      <c r="H49" s="16">
        <v>32</v>
      </c>
      <c r="I49" s="18">
        <v>45446</v>
      </c>
      <c r="J49" s="6">
        <f t="shared" si="1"/>
        <v>256</v>
      </c>
      <c r="K49" s="23"/>
    </row>
    <row r="50" spans="1:11" ht="14.5">
      <c r="A50" s="16">
        <v>1049</v>
      </c>
      <c r="B50" s="17" t="s">
        <v>103</v>
      </c>
      <c r="C50" s="17" t="s">
        <v>21</v>
      </c>
      <c r="D50" s="17" t="s">
        <v>22</v>
      </c>
      <c r="E50" s="16">
        <v>12</v>
      </c>
      <c r="F50" s="16">
        <v>50</v>
      </c>
      <c r="G50" s="18">
        <v>45476</v>
      </c>
      <c r="H50" s="16">
        <v>12</v>
      </c>
      <c r="I50" s="18">
        <v>45476</v>
      </c>
      <c r="J50" s="6">
        <f t="shared" si="1"/>
        <v>600</v>
      </c>
      <c r="K50" s="23"/>
    </row>
    <row r="51" spans="1:11" ht="14.5">
      <c r="A51" s="16">
        <v>1050</v>
      </c>
      <c r="B51" s="17" t="s">
        <v>104</v>
      </c>
      <c r="C51" s="17" t="s">
        <v>24</v>
      </c>
      <c r="D51" s="17" t="s">
        <v>25</v>
      </c>
      <c r="E51" s="16">
        <v>25</v>
      </c>
      <c r="F51" s="16">
        <v>10</v>
      </c>
      <c r="G51" s="18">
        <v>45507</v>
      </c>
      <c r="H51" s="16">
        <v>25</v>
      </c>
      <c r="I51" s="18">
        <v>45507</v>
      </c>
      <c r="J51" s="6">
        <f t="shared" si="1"/>
        <v>250</v>
      </c>
      <c r="K51" s="23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90DD-4E51-4F6E-B5D5-34604B09E5A7}">
  <dimension ref="A1:D8"/>
  <sheetViews>
    <sheetView workbookViewId="0">
      <selection activeCell="D4" sqref="D4"/>
    </sheetView>
  </sheetViews>
  <sheetFormatPr defaultRowHeight="14"/>
  <cols>
    <col min="1" max="1" width="52.9140625" customWidth="1"/>
    <col min="2" max="2" width="9" bestFit="1" customWidth="1"/>
  </cols>
  <sheetData>
    <row r="1" spans="1:4">
      <c r="A1" s="5" t="s">
        <v>109</v>
      </c>
    </row>
    <row r="3" spans="1:4" ht="14.5">
      <c r="A3" s="15" t="s">
        <v>15</v>
      </c>
      <c r="B3" s="15" t="s">
        <v>16</v>
      </c>
      <c r="D3" s="21" t="s">
        <v>113</v>
      </c>
    </row>
    <row r="4" spans="1:4" ht="14.5">
      <c r="A4" s="17" t="s">
        <v>21</v>
      </c>
      <c r="B4" s="17" t="s">
        <v>22</v>
      </c>
      <c r="D4" s="6">
        <f>SUMIFS(Answers!$J:$J,Answers!$C:$C,Sheet1!$A4,Answers!$D:$D,Sheet1!$B4)</f>
        <v>2900</v>
      </c>
    </row>
    <row r="5" spans="1:4" ht="14.5">
      <c r="A5" s="17" t="s">
        <v>21</v>
      </c>
      <c r="B5" s="17" t="s">
        <v>32</v>
      </c>
    </row>
    <row r="6" spans="1:4" ht="14.5">
      <c r="A6" s="17" t="s">
        <v>21</v>
      </c>
      <c r="B6" s="17" t="s">
        <v>28</v>
      </c>
    </row>
    <row r="7" spans="1:4" ht="14.5">
      <c r="A7" s="17" t="s">
        <v>21</v>
      </c>
      <c r="B7" s="17" t="s">
        <v>35</v>
      </c>
    </row>
    <row r="8" spans="1:4" ht="14.5">
      <c r="A8" s="17" t="s">
        <v>21</v>
      </c>
      <c r="B8" s="17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CA6E-58FF-4F6D-B3CF-0417F606BE51}">
  <dimension ref="A1:C10"/>
  <sheetViews>
    <sheetView workbookViewId="0">
      <selection activeCell="A10" sqref="A10"/>
    </sheetView>
  </sheetViews>
  <sheetFormatPr defaultRowHeight="14"/>
  <cols>
    <col min="1" max="1" width="26.83203125" bestFit="1" customWidth="1"/>
    <col min="3" max="3" width="12.9140625" bestFit="1" customWidth="1"/>
  </cols>
  <sheetData>
    <row r="1" spans="1:3">
      <c r="A1" t="e">
        <f>PROPER(#REF!)</f>
        <v>#REF!</v>
      </c>
    </row>
    <row r="2" spans="1:3">
      <c r="A2" s="4" t="s">
        <v>6</v>
      </c>
      <c r="C2" t="s">
        <v>7</v>
      </c>
    </row>
    <row r="4" spans="1:3">
      <c r="A4" t="str">
        <f>LEFT(A2,14)&amp;"sixsenses.com"</f>
        <v>Diksha.diksha@sixsenses.com</v>
      </c>
    </row>
    <row r="6" spans="1:3">
      <c r="A6" t="str">
        <f>REPLACE(A2,15,7,"Sixsenses.com")</f>
        <v>Diksha.diksha@Sixsenses.com</v>
      </c>
    </row>
    <row r="8" spans="1:3">
      <c r="A8" t="str">
        <f>PROPER(SUBSTITUTE(A2,"ihg.com",C2))</f>
        <v>Diksha.Diksha@Sixsenses.Com</v>
      </c>
    </row>
    <row r="10" spans="1:3">
      <c r="A10" t="str">
        <f>SUBSTITUTE(A2,"ihg.com",C2)</f>
        <v>Diksha.diksha@sixsenses.com</v>
      </c>
    </row>
  </sheetData>
  <hyperlinks>
    <hyperlink ref="A2" r:id="rId1" xr:uid="{517247C3-CAB3-41F4-8E84-1C17284A4E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Answer 1</vt:lpstr>
      <vt:lpstr>Answer 2</vt:lpstr>
      <vt:lpstr>Answer 3</vt:lpstr>
      <vt:lpstr>Column Chart</vt:lpstr>
      <vt:lpstr>Answers</vt:lpstr>
      <vt:lpstr>Sheet1</vt:lpstr>
      <vt:lpstr>Replace function</vt:lpstr>
    </vt:vector>
  </TitlesOfParts>
  <Company>IHG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Arora, Diksha</dc:creator>
  <cp:lastModifiedBy>dell</cp:lastModifiedBy>
  <dcterms:created xsi:type="dcterms:W3CDTF">2025-12-06T09:58:35Z</dcterms:created>
  <dcterms:modified xsi:type="dcterms:W3CDTF">2025-12-15T17:19:01Z</dcterms:modified>
</cp:coreProperties>
</file>