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047A904A-FD0B-485B-BF53-1D0B03121534}" xr6:coauthVersionLast="47" xr6:coauthVersionMax="47" xr10:uidLastSave="{00000000-0000-0000-0000-000000000000}"/>
  <bookViews>
    <workbookView xWindow="-110" yWindow="-110" windowWidth="19420" windowHeight="10420" activeTab="1" xr2:uid="{7D2B8DF2-E632-40C8-AB2D-F8BF79A0A8A8}"/>
  </bookViews>
  <sheets>
    <sheet name="Table" sheetId="1" r:id="rId1"/>
    <sheet name="Answer 1" sheetId="2" r:id="rId2"/>
    <sheet name="Answer 2" sheetId="4" r:id="rId3"/>
    <sheet name="Answer 3" sheetId="3" r:id="rId4"/>
    <sheet name="Answer 4" sheetId="5" r:id="rId5"/>
    <sheet name="Answer 5" sheetId="7" r:id="rId6"/>
    <sheet name="Answer 6" sheetId="8" r:id="rId7"/>
    <sheet name="Answer 7" sheetId="14" r:id="rId8"/>
    <sheet name="Sheet1" sheetId="11" state="hidden" r:id="rId9"/>
    <sheet name="Answer 8" sheetId="17" r:id="rId10"/>
    <sheet name="Answer 9" sheetId="10" r:id="rId11"/>
    <sheet name="Answers 10" sheetId="13" r:id="rId12"/>
  </sheets>
  <definedNames>
    <definedName name="_xlnm._FilterDatabase" localSheetId="4" hidden="1">'Answer 4'!$F$44:$J$64</definedName>
    <definedName name="Slicer_Product">#N/A</definedName>
    <definedName name="Slicer_Product1">#N/A</definedName>
  </definedNames>
  <calcPr calcId="191029"/>
  <pivotCaches>
    <pivotCache cacheId="15" r:id="rId13"/>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3" l="1"/>
</calcChain>
</file>

<file path=xl/sharedStrings.xml><?xml version="1.0" encoding="utf-8"?>
<sst xmlns="http://schemas.openxmlformats.org/spreadsheetml/2006/main" count="400" uniqueCount="87">
  <si>
    <t>Date</t>
  </si>
  <si>
    <t>Region</t>
  </si>
  <si>
    <t>Product</t>
  </si>
  <si>
    <t>Sales</t>
  </si>
  <si>
    <t>Quantity</t>
  </si>
  <si>
    <t>West</t>
  </si>
  <si>
    <t>Mangoes</t>
  </si>
  <si>
    <t>South</t>
  </si>
  <si>
    <t>Oranges</t>
  </si>
  <si>
    <t>Apples</t>
  </si>
  <si>
    <t>East</t>
  </si>
  <si>
    <t>North</t>
  </si>
  <si>
    <t>What is the purpose of a PivotTable in Excel?</t>
  </si>
  <si>
    <t>Create a PivotTable to show Total Sales by Region.</t>
  </si>
  <si>
    <t>Row Labels</t>
  </si>
  <si>
    <t>Grand Total</t>
  </si>
  <si>
    <t>Sum of Sales</t>
  </si>
  <si>
    <t>Apply Conditional Formatting to highlight sales greater than 400</t>
  </si>
  <si>
    <t>Explain the difference between Sorting and Filtering with an example from this dataset.</t>
  </si>
  <si>
    <t>Create a PivotChart showing Monthly Sales Trend.</t>
  </si>
  <si>
    <t>Jan</t>
  </si>
  <si>
    <t>Feb</t>
  </si>
  <si>
    <t>Mar</t>
  </si>
  <si>
    <t>Apr</t>
  </si>
  <si>
    <t>May</t>
  </si>
  <si>
    <t>Jun</t>
  </si>
  <si>
    <t>Use a Slicer to filter data by Product and observe changes in sales.</t>
  </si>
  <si>
    <t>Group dates in the PivotTable into Months and calculate the average sales per month.</t>
  </si>
  <si>
    <t>Average of Sales</t>
  </si>
  <si>
    <t>Why are Dashboards important for decision-making in business analysis?</t>
  </si>
  <si>
    <t>1) Data Visualization</t>
  </si>
  <si>
    <t>2) Real-Time Monitoring</t>
  </si>
  <si>
    <t>3)Focus on Key Metrics</t>
  </si>
  <si>
    <t>4) Identifying Trends and Patterns</t>
  </si>
  <si>
    <t>5) Improved Collaboration</t>
  </si>
  <si>
    <t>6) Automated Reporting</t>
  </si>
  <si>
    <t>7) Spotting Issues Early</t>
  </si>
  <si>
    <t>Dashboards are super important in business analysis because they give decision-makers a clear, real-time overview of critical data, allowing them to make informed decisions quickly and effectively. Here are a few reasons why they're so crucial:</t>
  </si>
  <si>
    <t>The purpose of a PivotTable in Excel is to summarize, analyze, and explore large amounts of data quickly and interactively without changing the original dataset.</t>
  </si>
  <si>
    <t>1) Data Summarization</t>
  </si>
  <si>
    <t>2) Easy Data Analysis</t>
  </si>
  <si>
    <t>3) Filtering and Sorting Data</t>
  </si>
  <si>
    <t>5) Data Comparison</t>
  </si>
  <si>
    <t>Combine Apples and Oranges into one group called Fruits and compare its sales with other products.</t>
  </si>
  <si>
    <t xml:space="preserve">Sol: </t>
  </si>
  <si>
    <t xml:space="preserve">SORTING </t>
  </si>
  <si>
    <r>
      <t xml:space="preserve">Sorting changes the </t>
    </r>
    <r>
      <rPr>
        <b/>
        <sz val="14"/>
        <color theme="1"/>
        <rFont val="Aptos Narrow"/>
        <family val="2"/>
        <scheme val="minor"/>
      </rPr>
      <t>order</t>
    </r>
    <r>
      <rPr>
        <sz val="14"/>
        <color theme="1"/>
        <rFont val="Aptos Narrow"/>
        <family val="2"/>
        <scheme val="minor"/>
      </rPr>
      <t xml:space="preserve"> of your data without removing any information. </t>
    </r>
  </si>
  <si>
    <t>We use this when you want to see the "best" or "worst" of a category.</t>
  </si>
  <si>
    <t>EXAMPLE :</t>
  </si>
  <si>
    <r>
      <rPr>
        <sz val="14"/>
        <color theme="1"/>
        <rFont val="Aptos Narrow"/>
        <family val="2"/>
        <scheme val="minor"/>
      </rPr>
      <t xml:space="preserve">The </t>
    </r>
    <r>
      <rPr>
        <b/>
        <sz val="14"/>
        <color theme="1"/>
        <rFont val="Aptos Narrow"/>
        <family val="2"/>
        <scheme val="minor"/>
      </rPr>
      <t>Sales</t>
    </r>
    <r>
      <rPr>
        <sz val="14"/>
        <color theme="1"/>
        <rFont val="Aptos Narrow"/>
        <family val="2"/>
        <scheme val="minor"/>
      </rPr>
      <t xml:space="preserve"> column from </t>
    </r>
    <r>
      <rPr>
        <b/>
        <sz val="14"/>
        <color theme="1"/>
        <rFont val="Aptos Narrow"/>
        <family val="2"/>
        <scheme val="minor"/>
      </rPr>
      <t>Largest to Smallest</t>
    </r>
    <r>
      <rPr>
        <sz val="14"/>
        <color theme="1"/>
        <rFont val="Aptos Narrow"/>
        <family val="2"/>
        <scheme val="minor"/>
      </rPr>
      <t xml:space="preserve"> to see which specific transactions brought in the most money at the top of your list.</t>
    </r>
  </si>
  <si>
    <t xml:space="preserve">SORTING HAVE BEEN APPLIED IN THE TABLE </t>
  </si>
  <si>
    <r>
      <t>Result:</t>
    </r>
    <r>
      <rPr>
        <sz val="14"/>
        <color theme="1"/>
        <rFont val="Aptos Narrow"/>
        <family val="2"/>
        <scheme val="minor"/>
      </rPr>
      <t xml:space="preserve"> All rows remain visible, but they are rearranged based on the value of the sales.</t>
    </r>
  </si>
  <si>
    <t xml:space="preserve">FILTERING </t>
  </si>
  <si>
    <t>Filtering hides data that doesn't meet specific criteria, allowing you to focus on a subset of information.</t>
  </si>
  <si>
    <r>
      <t xml:space="preserve">We could apply a filter to the </t>
    </r>
    <r>
      <rPr>
        <b/>
        <sz val="14"/>
        <color theme="1"/>
        <rFont val="Aptos Narrow"/>
        <family val="2"/>
        <scheme val="minor"/>
      </rPr>
      <t>Product</t>
    </r>
    <r>
      <rPr>
        <sz val="14"/>
        <color theme="1"/>
        <rFont val="Aptos Narrow"/>
        <family val="2"/>
        <scheme val="minor"/>
      </rPr>
      <t xml:space="preserve"> column to show only </t>
    </r>
    <r>
      <rPr>
        <b/>
        <sz val="14"/>
        <color theme="1"/>
        <rFont val="Aptos Narrow"/>
        <family val="2"/>
        <scheme val="minor"/>
      </rPr>
      <t>"Apples"</t>
    </r>
  </si>
  <si>
    <r>
      <rPr>
        <b/>
        <sz val="14"/>
        <color theme="1"/>
        <rFont val="Aptos Narrow"/>
        <family val="2"/>
        <scheme val="minor"/>
      </rPr>
      <t>Result</t>
    </r>
    <r>
      <rPr>
        <sz val="14"/>
        <color theme="1"/>
        <rFont val="Aptos Narrow"/>
        <family val="2"/>
        <scheme val="minor"/>
      </rPr>
      <t>: All rows containing "Oranges" and "Mangoes" are temporarily hidden from view, leaving only the Apple transactions visible for analysis.</t>
    </r>
  </si>
  <si>
    <t>Column Labels</t>
  </si>
  <si>
    <t>10-Jan</t>
  </si>
  <si>
    <t>20-Jan</t>
  </si>
  <si>
    <t>29-Jan</t>
  </si>
  <si>
    <t>17-Feb</t>
  </si>
  <si>
    <t>27-Feb</t>
  </si>
  <si>
    <t>17-Mar</t>
  </si>
  <si>
    <t>26-Mar</t>
  </si>
  <si>
    <t>14-Apr</t>
  </si>
  <si>
    <t>24-Apr</t>
  </si>
  <si>
    <t>13-May</t>
  </si>
  <si>
    <t>22-May</t>
  </si>
  <si>
    <t>10-Jun</t>
  </si>
  <si>
    <t>20-Jun</t>
  </si>
  <si>
    <t>30-Jun</t>
  </si>
  <si>
    <t>Monthly sales trend by products</t>
  </si>
  <si>
    <t>01-Jan</t>
  </si>
  <si>
    <t>08-Feb</t>
  </si>
  <si>
    <t>07-Mar</t>
  </si>
  <si>
    <t>05-Apr</t>
  </si>
  <si>
    <t>03-May</t>
  </si>
  <si>
    <t>01-Jun</t>
  </si>
  <si>
    <t>Monthly sales trend by Total</t>
  </si>
  <si>
    <t>Fruits</t>
  </si>
  <si>
    <t>Difference in Sales</t>
  </si>
  <si>
    <t>DASHBOARD</t>
  </si>
  <si>
    <t>Create a Dashboard that includes:</t>
  </si>
  <si>
    <t>Sales by Region (PivotTable + Chart)</t>
  </si>
  <si>
    <t>Product Filter (Slicer)</t>
  </si>
  <si>
    <t>Monthly Trend (Line Chart)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</si>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</sst>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Calibri"/>
      <family val="2"/>
    </font>
    <font>
      <sz val="11"/>
      <color theme="1"/>
      <name val="Calibri"/>
      <family val="2"/>
    </font>
    <font>
      <b/>
      <i/>
      <sz val="11"/>
      <color theme="1"/>
      <name val="Aptos Narrow"/>
      <family val="2"/>
      <scheme val="minor"/>
    </font>
    <font>
      <b/>
      <sz val="11"/>
      <color theme="1"/>
      <name val="Aptos Narrow"/>
      <family val="2"/>
      <scheme val="minor"/>
    </font>
    <font>
      <sz val="14"/>
      <color theme="1"/>
      <name val="Aptos Narrow"/>
      <family val="2"/>
      <scheme val="minor"/>
    </font>
    <font>
      <b/>
      <sz val="14"/>
      <color theme="1"/>
      <name val="Aptos Narrow"/>
      <family val="2"/>
      <scheme val="minor"/>
    </font>
    <font>
      <sz val="12"/>
      <color theme="1"/>
      <name val="Aptos Narrow"/>
      <family val="2"/>
      <scheme val="minor"/>
    </font>
    <font>
      <b/>
      <sz val="11"/>
      <color theme="1"/>
      <name val="Aptos Narrow"/>
      <scheme val="minor"/>
    </font>
    <font>
      <b/>
      <i/>
      <sz val="11"/>
      <color theme="1"/>
      <name val="Aptos Narrow"/>
      <scheme val="minor"/>
    </font>
    <font>
      <b/>
      <sz val="16"/>
      <color theme="0"/>
      <name val="Aptos Narrow"/>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CC00CC"/>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right/>
      <top style="thin">
        <color theme="4" tint="0.39997558519241921"/>
      </top>
      <bottom/>
      <diagonal/>
    </border>
  </borders>
  <cellStyleXfs count="1">
    <xf numFmtId="0" fontId="0" fillId="0" borderId="0"/>
  </cellStyleXfs>
  <cellXfs count="46">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2" fillId="0" borderId="3" xfId="0" applyNumberFormat="1" applyFont="1" applyBorder="1" applyAlignment="1">
      <alignment horizontal="right" wrapText="1"/>
    </xf>
    <xf numFmtId="0" fontId="2" fillId="0" borderId="3" xfId="0" applyFont="1" applyBorder="1" applyAlignment="1">
      <alignment wrapText="1"/>
    </xf>
    <xf numFmtId="0" fontId="2" fillId="0" borderId="3" xfId="0" applyFont="1" applyBorder="1" applyAlignment="1">
      <alignment horizontal="right" wrapText="1"/>
    </xf>
    <xf numFmtId="0" fontId="3" fillId="2" borderId="0" xfId="0" applyFont="1" applyFill="1"/>
    <xf numFmtId="0" fontId="0" fillId="0" borderId="0" xfId="0" pivotButton="1"/>
    <xf numFmtId="0" fontId="0" fillId="0" borderId="0" xfId="0" applyAlignment="1">
      <alignment horizontal="left"/>
    </xf>
    <xf numFmtId="0" fontId="1" fillId="0" borderId="4" xfId="0" applyFont="1" applyBorder="1" applyAlignment="1">
      <alignment horizontal="center" vertical="top" wrapText="1"/>
    </xf>
    <xf numFmtId="22" fontId="2" fillId="0" borderId="4" xfId="0" applyNumberFormat="1" applyFont="1" applyBorder="1" applyAlignment="1">
      <alignment horizontal="right" wrapText="1"/>
    </xf>
    <xf numFmtId="0" fontId="2" fillId="0" borderId="4" xfId="0" applyFont="1" applyBorder="1" applyAlignment="1">
      <alignment wrapText="1"/>
    </xf>
    <xf numFmtId="0" fontId="2" fillId="0" borderId="4" xfId="0" applyFont="1" applyBorder="1" applyAlignment="1">
      <alignment horizontal="right"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22" fontId="2" fillId="0" borderId="7" xfId="0" applyNumberFormat="1" applyFont="1" applyBorder="1" applyAlignment="1">
      <alignment horizontal="right" wrapText="1"/>
    </xf>
    <xf numFmtId="0" fontId="2" fillId="0" borderId="7" xfId="0" applyFont="1" applyBorder="1" applyAlignment="1">
      <alignment wrapText="1"/>
    </xf>
    <xf numFmtId="0" fontId="2" fillId="0" borderId="7" xfId="0" applyFont="1" applyBorder="1" applyAlignment="1">
      <alignment horizontal="right" wrapText="1"/>
    </xf>
    <xf numFmtId="0" fontId="0" fillId="0" borderId="0" xfId="0" applyNumberFormat="1"/>
    <xf numFmtId="0" fontId="0" fillId="0" borderId="0" xfId="0" applyFont="1"/>
    <xf numFmtId="0" fontId="5" fillId="0" borderId="0" xfId="0" applyFont="1"/>
    <xf numFmtId="0" fontId="6" fillId="3" borderId="0" xfId="0" applyFont="1" applyFill="1"/>
    <xf numFmtId="0" fontId="5" fillId="3" borderId="0" xfId="0" applyFont="1" applyFill="1"/>
    <xf numFmtId="0" fontId="6" fillId="0" borderId="0" xfId="0" applyFont="1"/>
    <xf numFmtId="0" fontId="4" fillId="0" borderId="8" xfId="0" applyFont="1" applyBorder="1" applyAlignment="1">
      <alignment horizontal="center" vertical="top" wrapText="1"/>
    </xf>
    <xf numFmtId="0" fontId="4" fillId="0" borderId="9" xfId="0" applyFont="1" applyBorder="1" applyAlignment="1">
      <alignment horizontal="center" vertical="top" wrapText="1"/>
    </xf>
    <xf numFmtId="22" fontId="0" fillId="0" borderId="4" xfId="0" applyNumberFormat="1" applyBorder="1" applyAlignment="1">
      <alignment horizontal="center" wrapText="1"/>
    </xf>
    <xf numFmtId="0" fontId="0" fillId="0" borderId="4" xfId="0" applyBorder="1" applyAlignment="1">
      <alignment horizontal="center" wrapText="1"/>
    </xf>
    <xf numFmtId="0" fontId="7" fillId="4" borderId="0" xfId="0" applyFont="1" applyFill="1"/>
    <xf numFmtId="0" fontId="0" fillId="3" borderId="0" xfId="0" applyFill="1"/>
    <xf numFmtId="0" fontId="7" fillId="0" borderId="0" xfId="0" applyFont="1"/>
    <xf numFmtId="0" fontId="4" fillId="3" borderId="0" xfId="0" applyFont="1" applyFill="1"/>
    <xf numFmtId="0" fontId="4" fillId="0" borderId="0" xfId="0" applyFont="1"/>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22" fontId="0" fillId="0" borderId="3" xfId="0" applyNumberFormat="1" applyBorder="1" applyAlignment="1">
      <alignment horizontal="center" wrapText="1"/>
    </xf>
    <xf numFmtId="0" fontId="0" fillId="0" borderId="3" xfId="0" applyBorder="1" applyAlignment="1">
      <alignment horizontal="center" wrapText="1"/>
    </xf>
    <xf numFmtId="22" fontId="0" fillId="0" borderId="0" xfId="0" applyNumberFormat="1" applyAlignment="1">
      <alignment horizontal="left" indent="1"/>
    </xf>
    <xf numFmtId="0" fontId="0" fillId="5" borderId="0" xfId="0" applyFill="1"/>
    <xf numFmtId="0" fontId="3" fillId="2" borderId="0" xfId="0" applyFont="1" applyFill="1" applyAlignment="1">
      <alignment horizontal="center"/>
    </xf>
    <xf numFmtId="0" fontId="0" fillId="0" borderId="0" xfId="0" applyAlignment="1">
      <alignment horizontal="left" indent="1"/>
    </xf>
    <xf numFmtId="0" fontId="3" fillId="2" borderId="0" xfId="0" applyFont="1" applyFill="1" applyAlignment="1"/>
    <xf numFmtId="0" fontId="8" fillId="0" borderId="0" xfId="0" applyFont="1"/>
    <xf numFmtId="0" fontId="10" fillId="7" borderId="0" xfId="0" applyFont="1" applyFill="1" applyAlignment="1">
      <alignment horizontal="center"/>
    </xf>
    <xf numFmtId="0" fontId="0" fillId="5" borderId="0" xfId="0" applyFill="1" applyAlignment="1">
      <alignment horizontal="right"/>
    </xf>
    <xf numFmtId="0" fontId="9" fillId="6" borderId="10" xfId="0" applyFont="1" applyFill="1" applyBorder="1" applyAlignment="1">
      <alignment horizontal="left"/>
    </xf>
  </cellXfs>
  <cellStyles count="1">
    <cellStyle name="Normal" xfId="0" builtinId="0"/>
  </cellStyles>
  <dxfs count="10">
    <dxf>
      <font>
        <color rgb="FF9C0006"/>
      </font>
      <fill>
        <patternFill>
          <bgColor rgb="FFFFC7CE"/>
        </patternFill>
      </fill>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4.xlsx]Answer 5!PivotTable2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5'!$B$3:$B$4</c:f>
              <c:strCache>
                <c:ptCount val="1"/>
                <c:pt idx="0">
                  <c:v>Apples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5'!$A$5:$A$11</c:f>
              <c:strCache>
                <c:ptCount val="6"/>
                <c:pt idx="0">
                  <c:v>Jan</c:v>
                </c:pt>
                <c:pt idx="1">
                  <c:v>Feb</c:v>
                </c:pt>
                <c:pt idx="2">
                  <c:v>Mar</c:v>
                </c:pt>
                <c:pt idx="3">
                  <c:v>Apr</c:v>
                </c:pt>
                <c:pt idx="4">
                  <c:v>May</c:v>
                </c:pt>
                <c:pt idx="5">
                  <c:v>Jun</c:v>
                </c:pt>
              </c:strCache>
            </c:strRef>
          </c:cat>
          <c:val>
            <c:numRef>
              <c:f>'Answer 5'!$B$5:$B$11</c:f>
              <c:numCache>
                <c:formatCode>General</c:formatCode>
                <c:ptCount val="6"/>
                <c:pt idx="0">
                  <c:v>230</c:v>
                </c:pt>
                <c:pt idx="1">
                  <c:v>417</c:v>
                </c:pt>
                <c:pt idx="2">
                  <c:v>441</c:v>
                </c:pt>
                <c:pt idx="5">
                  <c:v>717</c:v>
                </c:pt>
              </c:numCache>
            </c:numRef>
          </c:val>
          <c:smooth val="0"/>
          <c:extLst>
            <c:ext xmlns:c16="http://schemas.microsoft.com/office/drawing/2014/chart" uri="{C3380CC4-5D6E-409C-BE32-E72D297353CC}">
              <c16:uniqueId val="{00000000-F897-4B4E-93DD-B949F39476E6}"/>
            </c:ext>
          </c:extLst>
        </c:ser>
        <c:ser>
          <c:idx val="1"/>
          <c:order val="1"/>
          <c:tx>
            <c:strRef>
              <c:f>'Answer 5'!$C$3:$C$4</c:f>
              <c:strCache>
                <c:ptCount val="1"/>
                <c:pt idx="0">
                  <c:v>Mangoes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5'!$A$5:$A$11</c:f>
              <c:strCache>
                <c:ptCount val="6"/>
                <c:pt idx="0">
                  <c:v>Jan</c:v>
                </c:pt>
                <c:pt idx="1">
                  <c:v>Feb</c:v>
                </c:pt>
                <c:pt idx="2">
                  <c:v>Mar</c:v>
                </c:pt>
                <c:pt idx="3">
                  <c:v>Apr</c:v>
                </c:pt>
                <c:pt idx="4">
                  <c:v>May</c:v>
                </c:pt>
                <c:pt idx="5">
                  <c:v>Jun</c:v>
                </c:pt>
              </c:strCache>
            </c:strRef>
          </c:cat>
          <c:val>
            <c:numRef>
              <c:f>'Answer 5'!$C$5:$C$11</c:f>
              <c:numCache>
                <c:formatCode>General</c:formatCode>
                <c:ptCount val="6"/>
                <c:pt idx="0">
                  <c:v>703</c:v>
                </c:pt>
                <c:pt idx="1">
                  <c:v>281</c:v>
                </c:pt>
                <c:pt idx="2">
                  <c:v>76</c:v>
                </c:pt>
                <c:pt idx="3">
                  <c:v>672</c:v>
                </c:pt>
                <c:pt idx="4">
                  <c:v>789</c:v>
                </c:pt>
              </c:numCache>
            </c:numRef>
          </c:val>
          <c:smooth val="0"/>
          <c:extLst>
            <c:ext xmlns:c16="http://schemas.microsoft.com/office/drawing/2014/chart" uri="{C3380CC4-5D6E-409C-BE32-E72D297353CC}">
              <c16:uniqueId val="{00000001-F897-4B4E-93DD-B949F39476E6}"/>
            </c:ext>
          </c:extLst>
        </c:ser>
        <c:ser>
          <c:idx val="2"/>
          <c:order val="2"/>
          <c:tx>
            <c:strRef>
              <c:f>'Answer 5'!$D$3:$D$4</c:f>
              <c:strCache>
                <c:ptCount val="1"/>
                <c:pt idx="0">
                  <c:v>Oranges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5'!$A$5:$A$11</c:f>
              <c:strCache>
                <c:ptCount val="6"/>
                <c:pt idx="0">
                  <c:v>Jan</c:v>
                </c:pt>
                <c:pt idx="1">
                  <c:v>Feb</c:v>
                </c:pt>
                <c:pt idx="2">
                  <c:v>Mar</c:v>
                </c:pt>
                <c:pt idx="3">
                  <c:v>Apr</c:v>
                </c:pt>
                <c:pt idx="4">
                  <c:v>May</c:v>
                </c:pt>
                <c:pt idx="5">
                  <c:v>Jun</c:v>
                </c:pt>
              </c:strCache>
            </c:strRef>
          </c:cat>
          <c:val>
            <c:numRef>
              <c:f>'Answer 5'!$D$5:$D$11</c:f>
              <c:numCache>
                <c:formatCode>General</c:formatCode>
                <c:ptCount val="6"/>
                <c:pt idx="0">
                  <c:v>348</c:v>
                </c:pt>
                <c:pt idx="1">
                  <c:v>334</c:v>
                </c:pt>
                <c:pt idx="2">
                  <c:v>441</c:v>
                </c:pt>
                <c:pt idx="3">
                  <c:v>483</c:v>
                </c:pt>
                <c:pt idx="4">
                  <c:v>497</c:v>
                </c:pt>
                <c:pt idx="5">
                  <c:v>400</c:v>
                </c:pt>
              </c:numCache>
            </c:numRef>
          </c:val>
          <c:smooth val="0"/>
          <c:extLst>
            <c:ext xmlns:c16="http://schemas.microsoft.com/office/drawing/2014/chart" uri="{C3380CC4-5D6E-409C-BE32-E72D297353CC}">
              <c16:uniqueId val="{00000004-F897-4B4E-93DD-B949F39476E6}"/>
            </c:ext>
          </c:extLst>
        </c:ser>
        <c:dLbls>
          <c:dLblPos val="t"/>
          <c:showLegendKey val="0"/>
          <c:showVal val="1"/>
          <c:showCatName val="0"/>
          <c:showSerName val="0"/>
          <c:showPercent val="0"/>
          <c:showBubbleSize val="0"/>
        </c:dLbls>
        <c:smooth val="0"/>
        <c:axId val="1528846287"/>
        <c:axId val="1528847119"/>
      </c:lineChart>
      <c:catAx>
        <c:axId val="152884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47119"/>
        <c:crosses val="autoZero"/>
        <c:auto val="1"/>
        <c:lblAlgn val="ctr"/>
        <c:lblOffset val="100"/>
        <c:noMultiLvlLbl val="0"/>
      </c:catAx>
      <c:valAx>
        <c:axId val="152884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4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4.xlsx]Answer 5!PivotTable2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5'!$B$3:$B$4</c:f>
              <c:strCache>
                <c:ptCount val="1"/>
                <c:pt idx="0">
                  <c:v>Apples</c:v>
                </c:pt>
              </c:strCache>
            </c:strRef>
          </c:tx>
          <c:spPr>
            <a:solidFill>
              <a:schemeClr val="accent1"/>
            </a:solidFill>
            <a:ln>
              <a:noFill/>
            </a:ln>
            <a:effectLst/>
          </c:spPr>
          <c:invertIfNegative val="0"/>
          <c:cat>
            <c:strRef>
              <c:f>'Answer 5'!$A$5:$A$11</c:f>
              <c:strCache>
                <c:ptCount val="6"/>
                <c:pt idx="0">
                  <c:v>Jan</c:v>
                </c:pt>
                <c:pt idx="1">
                  <c:v>Feb</c:v>
                </c:pt>
                <c:pt idx="2">
                  <c:v>Mar</c:v>
                </c:pt>
                <c:pt idx="3">
                  <c:v>Apr</c:v>
                </c:pt>
                <c:pt idx="4">
                  <c:v>May</c:v>
                </c:pt>
                <c:pt idx="5">
                  <c:v>Jun</c:v>
                </c:pt>
              </c:strCache>
            </c:strRef>
          </c:cat>
          <c:val>
            <c:numRef>
              <c:f>'Answer 5'!$B$5:$B$11</c:f>
              <c:numCache>
                <c:formatCode>General</c:formatCode>
                <c:ptCount val="6"/>
                <c:pt idx="0">
                  <c:v>230</c:v>
                </c:pt>
                <c:pt idx="1">
                  <c:v>417</c:v>
                </c:pt>
                <c:pt idx="2">
                  <c:v>441</c:v>
                </c:pt>
                <c:pt idx="5">
                  <c:v>717</c:v>
                </c:pt>
              </c:numCache>
            </c:numRef>
          </c:val>
          <c:extLst>
            <c:ext xmlns:c16="http://schemas.microsoft.com/office/drawing/2014/chart" uri="{C3380CC4-5D6E-409C-BE32-E72D297353CC}">
              <c16:uniqueId val="{00000000-750A-4B50-B4E8-7A68F6CF27E5}"/>
            </c:ext>
          </c:extLst>
        </c:ser>
        <c:ser>
          <c:idx val="1"/>
          <c:order val="1"/>
          <c:tx>
            <c:strRef>
              <c:f>'Answer 5'!$C$3:$C$4</c:f>
              <c:strCache>
                <c:ptCount val="1"/>
                <c:pt idx="0">
                  <c:v>Mangoes</c:v>
                </c:pt>
              </c:strCache>
            </c:strRef>
          </c:tx>
          <c:spPr>
            <a:solidFill>
              <a:schemeClr val="accent2"/>
            </a:solidFill>
            <a:ln>
              <a:noFill/>
            </a:ln>
            <a:effectLst/>
          </c:spPr>
          <c:invertIfNegative val="0"/>
          <c:cat>
            <c:strRef>
              <c:f>'Answer 5'!$A$5:$A$11</c:f>
              <c:strCache>
                <c:ptCount val="6"/>
                <c:pt idx="0">
                  <c:v>Jan</c:v>
                </c:pt>
                <c:pt idx="1">
                  <c:v>Feb</c:v>
                </c:pt>
                <c:pt idx="2">
                  <c:v>Mar</c:v>
                </c:pt>
                <c:pt idx="3">
                  <c:v>Apr</c:v>
                </c:pt>
                <c:pt idx="4">
                  <c:v>May</c:v>
                </c:pt>
                <c:pt idx="5">
                  <c:v>Jun</c:v>
                </c:pt>
              </c:strCache>
            </c:strRef>
          </c:cat>
          <c:val>
            <c:numRef>
              <c:f>'Answer 5'!$C$5:$C$11</c:f>
              <c:numCache>
                <c:formatCode>General</c:formatCode>
                <c:ptCount val="6"/>
                <c:pt idx="0">
                  <c:v>703</c:v>
                </c:pt>
                <c:pt idx="1">
                  <c:v>281</c:v>
                </c:pt>
                <c:pt idx="2">
                  <c:v>76</c:v>
                </c:pt>
                <c:pt idx="3">
                  <c:v>672</c:v>
                </c:pt>
                <c:pt idx="4">
                  <c:v>789</c:v>
                </c:pt>
              </c:numCache>
            </c:numRef>
          </c:val>
          <c:extLst>
            <c:ext xmlns:c16="http://schemas.microsoft.com/office/drawing/2014/chart" uri="{C3380CC4-5D6E-409C-BE32-E72D297353CC}">
              <c16:uniqueId val="{00000001-750A-4B50-B4E8-7A68F6CF27E5}"/>
            </c:ext>
          </c:extLst>
        </c:ser>
        <c:ser>
          <c:idx val="2"/>
          <c:order val="2"/>
          <c:tx>
            <c:strRef>
              <c:f>'Answer 5'!$D$3:$D$4</c:f>
              <c:strCache>
                <c:ptCount val="1"/>
                <c:pt idx="0">
                  <c:v>Oranges</c:v>
                </c:pt>
              </c:strCache>
            </c:strRef>
          </c:tx>
          <c:spPr>
            <a:solidFill>
              <a:schemeClr val="accent3"/>
            </a:solidFill>
            <a:ln>
              <a:noFill/>
            </a:ln>
            <a:effectLst/>
          </c:spPr>
          <c:invertIfNegative val="0"/>
          <c:cat>
            <c:strRef>
              <c:f>'Answer 5'!$A$5:$A$11</c:f>
              <c:strCache>
                <c:ptCount val="6"/>
                <c:pt idx="0">
                  <c:v>Jan</c:v>
                </c:pt>
                <c:pt idx="1">
                  <c:v>Feb</c:v>
                </c:pt>
                <c:pt idx="2">
                  <c:v>Mar</c:v>
                </c:pt>
                <c:pt idx="3">
                  <c:v>Apr</c:v>
                </c:pt>
                <c:pt idx="4">
                  <c:v>May</c:v>
                </c:pt>
                <c:pt idx="5">
                  <c:v>Jun</c:v>
                </c:pt>
              </c:strCache>
            </c:strRef>
          </c:cat>
          <c:val>
            <c:numRef>
              <c:f>'Answer 5'!$D$5:$D$11</c:f>
              <c:numCache>
                <c:formatCode>General</c:formatCode>
                <c:ptCount val="6"/>
                <c:pt idx="0">
                  <c:v>348</c:v>
                </c:pt>
                <c:pt idx="1">
                  <c:v>334</c:v>
                </c:pt>
                <c:pt idx="2">
                  <c:v>441</c:v>
                </c:pt>
                <c:pt idx="3">
                  <c:v>483</c:v>
                </c:pt>
                <c:pt idx="4">
                  <c:v>497</c:v>
                </c:pt>
                <c:pt idx="5">
                  <c:v>400</c:v>
                </c:pt>
              </c:numCache>
            </c:numRef>
          </c:val>
          <c:extLst>
            <c:ext xmlns:c16="http://schemas.microsoft.com/office/drawing/2014/chart" uri="{C3380CC4-5D6E-409C-BE32-E72D297353CC}">
              <c16:uniqueId val="{00000002-750A-4B50-B4E8-7A68F6CF27E5}"/>
            </c:ext>
          </c:extLst>
        </c:ser>
        <c:dLbls>
          <c:showLegendKey val="0"/>
          <c:showVal val="0"/>
          <c:showCatName val="0"/>
          <c:showSerName val="0"/>
          <c:showPercent val="0"/>
          <c:showBubbleSize val="0"/>
        </c:dLbls>
        <c:gapWidth val="219"/>
        <c:overlap val="-27"/>
        <c:axId val="1716780319"/>
        <c:axId val="1716774911"/>
      </c:barChart>
      <c:catAx>
        <c:axId val="171678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774911"/>
        <c:crosses val="autoZero"/>
        <c:auto val="1"/>
        <c:lblAlgn val="ctr"/>
        <c:lblOffset val="100"/>
        <c:noMultiLvlLbl val="0"/>
      </c:catAx>
      <c:valAx>
        <c:axId val="171677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78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4.xlsx]Answer 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5'!$B$16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5'!$A$17:$A$23</c:f>
              <c:strCache>
                <c:ptCount val="6"/>
                <c:pt idx="0">
                  <c:v>Jan</c:v>
                </c:pt>
                <c:pt idx="1">
                  <c:v>Feb</c:v>
                </c:pt>
                <c:pt idx="2">
                  <c:v>Mar</c:v>
                </c:pt>
                <c:pt idx="3">
                  <c:v>Apr</c:v>
                </c:pt>
                <c:pt idx="4">
                  <c:v>May</c:v>
                </c:pt>
                <c:pt idx="5">
                  <c:v>Jun</c:v>
                </c:pt>
              </c:strCache>
            </c:strRef>
          </c:cat>
          <c:val>
            <c:numRef>
              <c:f>'Answer 5'!$B$17:$B$23</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FE19-4132-ACC5-B96DBDC09F9B}"/>
            </c:ext>
          </c:extLst>
        </c:ser>
        <c:dLbls>
          <c:dLblPos val="outEnd"/>
          <c:showLegendKey val="0"/>
          <c:showVal val="1"/>
          <c:showCatName val="0"/>
          <c:showSerName val="0"/>
          <c:showPercent val="0"/>
          <c:showBubbleSize val="0"/>
        </c:dLbls>
        <c:gapWidth val="219"/>
        <c:overlap val="-27"/>
        <c:axId val="1528849199"/>
        <c:axId val="1528853359"/>
      </c:barChart>
      <c:catAx>
        <c:axId val="152884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53359"/>
        <c:crosses val="autoZero"/>
        <c:auto val="1"/>
        <c:lblAlgn val="ctr"/>
        <c:lblOffset val="100"/>
        <c:noMultiLvlLbl val="0"/>
      </c:catAx>
      <c:valAx>
        <c:axId val="152885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4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4.xlsx]Answer 8!PivotTable4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8'!$D$10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8'!$C$11:$C$17</c:f>
              <c:strCache>
                <c:ptCount val="6"/>
                <c:pt idx="0">
                  <c:v>Jan</c:v>
                </c:pt>
                <c:pt idx="1">
                  <c:v>Feb</c:v>
                </c:pt>
                <c:pt idx="2">
                  <c:v>Mar</c:v>
                </c:pt>
                <c:pt idx="3">
                  <c:v>Apr</c:v>
                </c:pt>
                <c:pt idx="4">
                  <c:v>May</c:v>
                </c:pt>
                <c:pt idx="5">
                  <c:v>Jun</c:v>
                </c:pt>
              </c:strCache>
            </c:strRef>
          </c:cat>
          <c:val>
            <c:numRef>
              <c:f>'Answer 8'!$D$11:$D$17</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5761-474E-AE12-A22678D5F0BE}"/>
            </c:ext>
          </c:extLst>
        </c:ser>
        <c:dLbls>
          <c:dLblPos val="t"/>
          <c:showLegendKey val="0"/>
          <c:showVal val="1"/>
          <c:showCatName val="0"/>
          <c:showSerName val="0"/>
          <c:showPercent val="0"/>
          <c:showBubbleSize val="0"/>
        </c:dLbls>
        <c:smooth val="0"/>
        <c:axId val="1808152416"/>
        <c:axId val="1808146176"/>
      </c:lineChart>
      <c:catAx>
        <c:axId val="180815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146176"/>
        <c:crosses val="autoZero"/>
        <c:auto val="1"/>
        <c:lblAlgn val="ctr"/>
        <c:lblOffset val="100"/>
        <c:noMultiLvlLbl val="0"/>
      </c:catAx>
      <c:valAx>
        <c:axId val="180814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15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4.xlsx]Answer 8!PivotTable5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8'!$N$10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8'!$M$11:$M$15</c:f>
              <c:strCache>
                <c:ptCount val="4"/>
                <c:pt idx="0">
                  <c:v>East</c:v>
                </c:pt>
                <c:pt idx="1">
                  <c:v>North</c:v>
                </c:pt>
                <c:pt idx="2">
                  <c:v>South</c:v>
                </c:pt>
                <c:pt idx="3">
                  <c:v>West</c:v>
                </c:pt>
              </c:strCache>
            </c:strRef>
          </c:cat>
          <c:val>
            <c:numRef>
              <c:f>'Answer 8'!$N$11:$N$15</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1FE2-4231-9A34-5BB06F4069D0}"/>
            </c:ext>
          </c:extLst>
        </c:ser>
        <c:dLbls>
          <c:dLblPos val="outEnd"/>
          <c:showLegendKey val="0"/>
          <c:showVal val="1"/>
          <c:showCatName val="0"/>
          <c:showSerName val="0"/>
          <c:showPercent val="0"/>
          <c:showBubbleSize val="0"/>
        </c:dLbls>
        <c:gapWidth val="219"/>
        <c:overlap val="-27"/>
        <c:axId val="1808171968"/>
        <c:axId val="1808169472"/>
      </c:barChart>
      <c:catAx>
        <c:axId val="180817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169472"/>
        <c:crosses val="autoZero"/>
        <c:auto val="1"/>
        <c:lblAlgn val="ctr"/>
        <c:lblOffset val="100"/>
        <c:noMultiLvlLbl val="0"/>
      </c:catAx>
      <c:valAx>
        <c:axId val="180816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17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530225</xdr:colOff>
      <xdr:row>1</xdr:row>
      <xdr:rowOff>120650</xdr:rowOff>
    </xdr:from>
    <xdr:to>
      <xdr:col>12</xdr:col>
      <xdr:colOff>479425</xdr:colOff>
      <xdr:row>17</xdr:row>
      <xdr:rowOff>19050</xdr:rowOff>
    </xdr:to>
    <xdr:graphicFrame macro="">
      <xdr:nvGraphicFramePr>
        <xdr:cNvPr id="3" name="Chart 2">
          <a:extLst>
            <a:ext uri="{FF2B5EF4-FFF2-40B4-BE49-F238E27FC236}">
              <a16:creationId xmlns:a16="http://schemas.microsoft.com/office/drawing/2014/main" id="{5C7FF205-9AD3-467B-BF1C-42EB33B01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539750</xdr:colOff>
      <xdr:row>17</xdr:row>
      <xdr:rowOff>76200</xdr:rowOff>
    </xdr:from>
    <xdr:to>
      <xdr:col>12</xdr:col>
      <xdr:colOff>488950</xdr:colOff>
      <xdr:row>32</xdr:row>
      <xdr:rowOff>152400</xdr:rowOff>
    </xdr:to>
    <xdr:graphicFrame macro="">
      <xdr:nvGraphicFramePr>
        <xdr:cNvPr id="4" name="Chart 3">
          <a:extLst>
            <a:ext uri="{FF2B5EF4-FFF2-40B4-BE49-F238E27FC236}">
              <a16:creationId xmlns:a16="http://schemas.microsoft.com/office/drawing/2014/main" id="{D1BE8424-F232-4920-B174-37959F241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60325</xdr:colOff>
      <xdr:row>26</xdr:row>
      <xdr:rowOff>63500</xdr:rowOff>
    </xdr:from>
    <xdr:to>
      <xdr:col>5</xdr:col>
      <xdr:colOff>254000</xdr:colOff>
      <xdr:row>39</xdr:row>
      <xdr:rowOff>171450</xdr:rowOff>
    </xdr:to>
    <xdr:graphicFrame macro="">
      <xdr:nvGraphicFramePr>
        <xdr:cNvPr id="5" name="Chart 4">
          <a:extLst>
            <a:ext uri="{FF2B5EF4-FFF2-40B4-BE49-F238E27FC236}">
              <a16:creationId xmlns:a16="http://schemas.microsoft.com/office/drawing/2014/main" id="{C6331617-551C-49B2-9D5A-FE146DA19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xdr:row>
      <xdr:rowOff>69850</xdr:rowOff>
    </xdr:from>
    <xdr:to>
      <xdr:col>1</xdr:col>
      <xdr:colOff>12700</xdr:colOff>
      <xdr:row>12</xdr:row>
      <xdr:rowOff>50800</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22F25AAE-A23E-8418-6942-AB8AE74FEB6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247650"/>
              <a:ext cx="1962150" cy="1936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463550</xdr:colOff>
      <xdr:row>8</xdr:row>
      <xdr:rowOff>146051</xdr:rowOff>
    </xdr:from>
    <xdr:to>
      <xdr:col>8</xdr:col>
      <xdr:colOff>298450</xdr:colOff>
      <xdr:row>16</xdr:row>
      <xdr:rowOff>158750</xdr:rowOff>
    </xdr:to>
    <mc:AlternateContent xmlns:mc="http://schemas.openxmlformats.org/markup-compatibility/2006">
      <mc:Choice xmlns:a14="http://schemas.microsoft.com/office/drawing/2010/main" Requires="a14">
        <xdr:graphicFrame macro="">
          <xdr:nvGraphicFramePr>
            <xdr:cNvPr id="2" name="Product 1">
              <a:extLst>
                <a:ext uri="{FF2B5EF4-FFF2-40B4-BE49-F238E27FC236}">
                  <a16:creationId xmlns:a16="http://schemas.microsoft.com/office/drawing/2014/main" id="{14B703F1-C706-411E-A879-51FDCD8E0AE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003800" y="1644651"/>
              <a:ext cx="1828800" cy="1435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174625</xdr:colOff>
      <xdr:row>19</xdr:row>
      <xdr:rowOff>31750</xdr:rowOff>
    </xdr:from>
    <xdr:to>
      <xdr:col>7</xdr:col>
      <xdr:colOff>206375</xdr:colOff>
      <xdr:row>34</xdr:row>
      <xdr:rowOff>107950</xdr:rowOff>
    </xdr:to>
    <xdr:graphicFrame macro="">
      <xdr:nvGraphicFramePr>
        <xdr:cNvPr id="6" name="Chart 5">
          <a:extLst>
            <a:ext uri="{FF2B5EF4-FFF2-40B4-BE49-F238E27FC236}">
              <a16:creationId xmlns:a16="http://schemas.microsoft.com/office/drawing/2014/main" id="{98ECF0DE-3588-4F0F-AC96-EE2FB9983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917575</xdr:colOff>
      <xdr:row>19</xdr:row>
      <xdr:rowOff>31750</xdr:rowOff>
    </xdr:from>
    <xdr:to>
      <xdr:col>13</xdr:col>
      <xdr:colOff>530225</xdr:colOff>
      <xdr:row>34</xdr:row>
      <xdr:rowOff>107950</xdr:rowOff>
    </xdr:to>
    <xdr:graphicFrame macro="">
      <xdr:nvGraphicFramePr>
        <xdr:cNvPr id="7" name="Chart 6">
          <a:extLst>
            <a:ext uri="{FF2B5EF4-FFF2-40B4-BE49-F238E27FC236}">
              <a16:creationId xmlns:a16="http://schemas.microsoft.com/office/drawing/2014/main" id="{8E450FEB-12BC-4A39-AEA2-F26A21254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sha, Diksha" refreshedDate="46015.656390509263" createdVersion="8" refreshedVersion="8" minRefreshableVersion="3" recordCount="20" xr:uid="{DD5F9A76-8B19-4332-B744-18429899D54C}">
  <cacheSource type="worksheet">
    <worksheetSource ref="A1:E21" sheet="Table"/>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5487765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sha, Diksha" refreshedDate="46015.66684849537" createdVersion="8" refreshedVersion="8" minRefreshableVersion="3" recordCount="20" xr:uid="{0A6492A3-6B2C-40FD-BD91-8FF91CF5C62F}">
  <cacheSource type="worksheet">
    <worksheetSource ref="A4:E24" sheet="Answer 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359864-31F5-4996-ACBA-A047A762E6A0}" name="PivotTable1" cacheId="1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8" firstHeaderRow="1" firstDataRow="1" firstDataCol="1"/>
  <pivotFields count="7">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55A844-8043-48B4-BF44-F502E86CB25C}" name="PivotTable1"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6:B23"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2">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E2996C-781C-468B-A428-97BCC80AA138}" name="PivotTable2"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3:E11" firstHeaderRow="1" firstDataRow="2"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axis="axisCol"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6"/>
    <field x="5"/>
    <field x="0"/>
  </rowFields>
  <rowItems count="7">
    <i>
      <x v="1"/>
    </i>
    <i>
      <x v="2"/>
    </i>
    <i>
      <x v="3"/>
    </i>
    <i>
      <x v="4"/>
    </i>
    <i>
      <x v="5"/>
    </i>
    <i>
      <x v="6"/>
    </i>
    <i t="grand">
      <x/>
    </i>
  </rowItems>
  <colFields count="1">
    <field x="2"/>
  </colFields>
  <colItems count="4">
    <i>
      <x/>
    </i>
    <i>
      <x v="1"/>
    </i>
    <i>
      <x v="2"/>
    </i>
    <i t="grand">
      <x/>
    </i>
  </colItems>
  <dataFields count="1">
    <dataField name="Sum of Sales" fld="3" baseField="0" baseItem="0"/>
  </dataField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8B95D4-0430-4B79-8FA2-B23C3637C91A}" name="PivotTable5"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M10:N15" firstHeaderRow="1" firstDataRow="1" firstDataCol="1"/>
  <pivotFields count="7">
    <pivotField numFmtId="22" showAll="0"/>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2">
        <item x="0"/>
        <item x="1"/>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923289-69FD-40D9-B6C3-74B248DA975B}" name="PivotTable4"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10:D17" firstHeaderRow="1" firstDataRow="1" firstDataCol="1"/>
  <pivotFields count="7">
    <pivotField numFmtId="22" showAll="0"/>
    <pivotField showAll="0"/>
    <pivotField showAll="0">
      <items count="4">
        <item x="2"/>
        <item x="0"/>
        <item x="1"/>
        <item t="default"/>
      </items>
    </pivotField>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items count="2">
        <item x="0"/>
        <item x="1"/>
      </items>
    </pivotField>
  </pivotFields>
  <rowFields count="1">
    <field x="5"/>
  </rowFields>
  <rowItems count="7">
    <i>
      <x v="1"/>
    </i>
    <i>
      <x v="2"/>
    </i>
    <i>
      <x v="3"/>
    </i>
    <i>
      <x v="4"/>
    </i>
    <i>
      <x v="5"/>
    </i>
    <i>
      <x v="6"/>
    </i>
    <i t="grand">
      <x/>
    </i>
  </rowItems>
  <colItems count="1">
    <i/>
  </colItems>
  <dataFields count="1">
    <dataField name="Sum of Sales" fld="3"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1C9CDC-49E9-4FE4-816D-4957C9199102}" name="PivotTable3" cacheId="1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30"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2">
    <field x="5"/>
    <field x="0"/>
  </rowFields>
  <rowItems count="27">
    <i>
      <x v="1"/>
    </i>
    <i r="1">
      <x v="1"/>
    </i>
    <i r="1">
      <x v="10"/>
    </i>
    <i r="1">
      <x v="20"/>
    </i>
    <i r="1">
      <x v="29"/>
    </i>
    <i>
      <x v="2"/>
    </i>
    <i r="1">
      <x v="39"/>
    </i>
    <i r="1">
      <x v="48"/>
    </i>
    <i r="1">
      <x v="58"/>
    </i>
    <i>
      <x v="3"/>
    </i>
    <i r="1">
      <x v="67"/>
    </i>
    <i r="1">
      <x v="77"/>
    </i>
    <i r="1">
      <x v="86"/>
    </i>
    <i>
      <x v="4"/>
    </i>
    <i r="1">
      <x v="96"/>
    </i>
    <i r="1">
      <x v="105"/>
    </i>
    <i r="1">
      <x v="115"/>
    </i>
    <i>
      <x v="5"/>
    </i>
    <i r="1">
      <x v="124"/>
    </i>
    <i r="1">
      <x v="134"/>
    </i>
    <i r="1">
      <x v="143"/>
    </i>
    <i>
      <x v="6"/>
    </i>
    <i r="1">
      <x v="153"/>
    </i>
    <i r="1">
      <x v="162"/>
    </i>
    <i r="1">
      <x v="172"/>
    </i>
    <i r="1">
      <x v="182"/>
    </i>
    <i t="grand">
      <x/>
    </i>
  </rowItems>
  <colItems count="1">
    <i/>
  </colItems>
  <dataFields count="1">
    <dataField name="Average of Sal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AD75A1-B4DD-4845-8262-8E0CD271EA62}" name="PivotTable1"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7">
    <pivotField numFmtId="22" showAll="0"/>
    <pivotField showAll="0"/>
    <pivotField axis="axisRow" showAll="0">
      <items count="4">
        <item x="2"/>
        <item x="0"/>
        <item x="1"/>
        <item t="default"/>
      </items>
    </pivotField>
    <pivotField dataField="1" showAll="0"/>
    <pivotField showAll="0"/>
    <pivotField showAll="0" defaultSubtotal="0"/>
    <pivotField axis="axisRow" showAll="0">
      <items count="3">
        <item n="Fruits" x="1"/>
        <item x="0"/>
        <item t="default"/>
      </items>
    </pivotField>
  </pivotFields>
  <rowFields count="2">
    <field x="6"/>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43664B0-CF17-4AF6-8A63-1A77091BEE5A}" sourceName="Product">
  <pivotTables>
    <pivotTable tabId="17" name="PivotTable5"/>
    <pivotTable tabId="17" name="PivotTable4"/>
  </pivotTables>
  <data>
    <tabular pivotCacheId="154877657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A3D0827-91DD-4288-8EDE-004C5352C09E}"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BCAF2C0-2A22-4BAD-9B9F-6D7BC6B1FC4B}" cache="Slicer_Product" caption="Product"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730A273-872C-49D5-8ECD-ADEA415BC6C9}" cache="Slicer_Product1" caption="Produc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F993F-6B27-4D52-A4F8-E8F349C99F0C}" name="Table1" displayName="Table1" ref="A14:E34" totalsRowShown="0" headerRowDxfId="9" headerRowBorderDxfId="8" tableBorderDxfId="7" totalsRowBorderDxfId="6">
  <autoFilter ref="A14:E34" xr:uid="{B5EF993F-6B27-4D52-A4F8-E8F349C99F0C}">
    <filterColumn colId="2">
      <filters>
        <filter val="Mangoes"/>
      </filters>
    </filterColumn>
  </autoFilter>
  <tableColumns count="5">
    <tableColumn id="1" xr3:uid="{240EC952-B211-4A7D-9565-0876CBC53B8F}" name="Date" dataDxfId="5"/>
    <tableColumn id="2" xr3:uid="{57F307E6-C6C0-471C-B82A-EEA8C63FB0B8}" name="Region" dataDxfId="4"/>
    <tableColumn id="3" xr3:uid="{BD46B383-2396-4F03-89B3-3E172D1D203A}" name="Product" dataDxfId="3"/>
    <tableColumn id="4" xr3:uid="{E7EFED68-76F6-42F4-BB39-C01AEBF10D7B}" name="Sales" dataDxfId="2"/>
    <tableColumn id="5" xr3:uid="{A385222D-2D59-4E8F-865C-0D8E6D2BE6ED}" name="Quant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5ECC-2C40-4AA9-BCA7-12A5BB4C3F58}">
  <dimension ref="A1:E21"/>
  <sheetViews>
    <sheetView topLeftCell="A3" workbookViewId="0">
      <selection sqref="A1:E21"/>
    </sheetView>
  </sheetViews>
  <sheetFormatPr defaultRowHeight="14"/>
  <cols>
    <col min="1" max="1" width="17.9140625" customWidth="1"/>
    <col min="2" max="2" width="6.4140625" bestFit="1" customWidth="1"/>
    <col min="3" max="3" width="8.4140625" bestFit="1" customWidth="1"/>
    <col min="4" max="4" width="5" bestFit="1" customWidth="1"/>
    <col min="5" max="5" width="8.1640625" bestFit="1" customWidth="1"/>
  </cols>
  <sheetData>
    <row r="1" spans="1:5" ht="15" thickBot="1">
      <c r="A1" s="1" t="s">
        <v>0</v>
      </c>
      <c r="B1" s="2" t="s">
        <v>1</v>
      </c>
      <c r="C1" s="2" t="s">
        <v>2</v>
      </c>
      <c r="D1" s="2" t="s">
        <v>3</v>
      </c>
      <c r="E1" s="2" t="s">
        <v>4</v>
      </c>
    </row>
    <row r="2" spans="1:5" ht="15" thickBot="1">
      <c r="A2" s="3">
        <v>45292</v>
      </c>
      <c r="B2" s="4" t="s">
        <v>5</v>
      </c>
      <c r="C2" s="4" t="s">
        <v>6</v>
      </c>
      <c r="D2" s="5">
        <v>456</v>
      </c>
      <c r="E2" s="5">
        <v>93</v>
      </c>
    </row>
    <row r="3" spans="1:5" ht="15" thickBot="1">
      <c r="A3" s="3">
        <v>45301.526319444441</v>
      </c>
      <c r="B3" s="4" t="s">
        <v>7</v>
      </c>
      <c r="C3" s="4" t="s">
        <v>8</v>
      </c>
      <c r="D3" s="5">
        <v>348</v>
      </c>
      <c r="E3" s="5">
        <v>56</v>
      </c>
    </row>
    <row r="4" spans="1:5" ht="15" thickBot="1">
      <c r="A4" s="3">
        <v>45311.052627314813</v>
      </c>
      <c r="B4" s="4" t="s">
        <v>7</v>
      </c>
      <c r="C4" s="4" t="s">
        <v>6</v>
      </c>
      <c r="D4" s="5">
        <v>247</v>
      </c>
      <c r="E4" s="5">
        <v>76</v>
      </c>
    </row>
    <row r="5" spans="1:5" ht="15" thickBot="1">
      <c r="A5" s="3">
        <v>45320.578946759262</v>
      </c>
      <c r="B5" s="4" t="s">
        <v>5</v>
      </c>
      <c r="C5" s="4" t="s">
        <v>9</v>
      </c>
      <c r="D5" s="5">
        <v>230</v>
      </c>
      <c r="E5" s="5">
        <v>37</v>
      </c>
    </row>
    <row r="6" spans="1:5" ht="15" thickBot="1">
      <c r="A6" s="3">
        <v>45330.105266203704</v>
      </c>
      <c r="B6" s="4" t="s">
        <v>5</v>
      </c>
      <c r="C6" s="4" t="s">
        <v>6</v>
      </c>
      <c r="D6" s="5">
        <v>281</v>
      </c>
      <c r="E6" s="5">
        <v>50</v>
      </c>
    </row>
    <row r="7" spans="1:5" ht="15" thickBot="1">
      <c r="A7" s="3">
        <v>45339.631574074076</v>
      </c>
      <c r="B7" s="4" t="s">
        <v>5</v>
      </c>
      <c r="C7" s="4" t="s">
        <v>8</v>
      </c>
      <c r="D7" s="5">
        <v>334</v>
      </c>
      <c r="E7" s="5">
        <v>52</v>
      </c>
    </row>
    <row r="8" spans="1:5" ht="15" thickBot="1">
      <c r="A8" s="3">
        <v>45349.157893518517</v>
      </c>
      <c r="B8" s="4" t="s">
        <v>7</v>
      </c>
      <c r="C8" s="4" t="s">
        <v>9</v>
      </c>
      <c r="D8" s="5">
        <v>417</v>
      </c>
      <c r="E8" s="5">
        <v>29</v>
      </c>
    </row>
    <row r="9" spans="1:5" ht="15" thickBot="1">
      <c r="A9" s="3">
        <v>45358.684212962966</v>
      </c>
      <c r="B9" s="4" t="s">
        <v>5</v>
      </c>
      <c r="C9" s="4" t="s">
        <v>9</v>
      </c>
      <c r="D9" s="5">
        <v>441</v>
      </c>
      <c r="E9" s="5">
        <v>44</v>
      </c>
    </row>
    <row r="10" spans="1:5" ht="15" thickBot="1">
      <c r="A10" s="3">
        <v>45368.210520833331</v>
      </c>
      <c r="B10" s="4" t="s">
        <v>7</v>
      </c>
      <c r="C10" s="4" t="s">
        <v>6</v>
      </c>
      <c r="D10" s="5">
        <v>76</v>
      </c>
      <c r="E10" s="5">
        <v>63</v>
      </c>
    </row>
    <row r="11" spans="1:5" ht="15" thickBot="1">
      <c r="A11" s="3">
        <v>45377.736840277779</v>
      </c>
      <c r="B11" s="4" t="s">
        <v>5</v>
      </c>
      <c r="C11" s="4" t="s">
        <v>8</v>
      </c>
      <c r="D11" s="5">
        <v>441</v>
      </c>
      <c r="E11" s="5">
        <v>79</v>
      </c>
    </row>
    <row r="12" spans="1:5" ht="15" thickBot="1">
      <c r="A12" s="3">
        <v>45387.263159722221</v>
      </c>
      <c r="B12" s="4" t="s">
        <v>7</v>
      </c>
      <c r="C12" s="4" t="s">
        <v>6</v>
      </c>
      <c r="D12" s="5">
        <v>205</v>
      </c>
      <c r="E12" s="5">
        <v>23</v>
      </c>
    </row>
    <row r="13" spans="1:5" ht="15" thickBot="1">
      <c r="A13" s="3">
        <v>45396.789479166669</v>
      </c>
      <c r="B13" s="4" t="s">
        <v>5</v>
      </c>
      <c r="C13" s="4" t="s">
        <v>8</v>
      </c>
      <c r="D13" s="5">
        <v>483</v>
      </c>
      <c r="E13" s="5">
        <v>97</v>
      </c>
    </row>
    <row r="14" spans="1:5" ht="15" thickBot="1">
      <c r="A14" s="3">
        <v>45406.315787037034</v>
      </c>
      <c r="B14" s="4" t="s">
        <v>10</v>
      </c>
      <c r="C14" s="4" t="s">
        <v>6</v>
      </c>
      <c r="D14" s="5">
        <v>467</v>
      </c>
      <c r="E14" s="5">
        <v>97</v>
      </c>
    </row>
    <row r="15" spans="1:5" ht="15" thickBot="1">
      <c r="A15" s="3">
        <v>45415.842106481483</v>
      </c>
      <c r="B15" s="4" t="s">
        <v>5</v>
      </c>
      <c r="C15" s="4" t="s">
        <v>6</v>
      </c>
      <c r="D15" s="5">
        <v>380</v>
      </c>
      <c r="E15" s="5">
        <v>92</v>
      </c>
    </row>
    <row r="16" spans="1:5" ht="15" thickBot="1">
      <c r="A16" s="3">
        <v>45425.368425925924</v>
      </c>
      <c r="B16" s="4" t="s">
        <v>7</v>
      </c>
      <c r="C16" s="4" t="s">
        <v>8</v>
      </c>
      <c r="D16" s="5">
        <v>497</v>
      </c>
      <c r="E16" s="5">
        <v>71</v>
      </c>
    </row>
    <row r="17" spans="1:5" ht="15" thickBot="1">
      <c r="A17" s="3">
        <v>45434.894733796296</v>
      </c>
      <c r="B17" s="4" t="s">
        <v>7</v>
      </c>
      <c r="C17" s="4" t="s">
        <v>6</v>
      </c>
      <c r="D17" s="5">
        <v>409</v>
      </c>
      <c r="E17" s="5">
        <v>81</v>
      </c>
    </row>
    <row r="18" spans="1:5" ht="15" thickBot="1">
      <c r="A18" s="3">
        <v>45444.421053240738</v>
      </c>
      <c r="B18" s="4" t="s">
        <v>5</v>
      </c>
      <c r="C18" s="4" t="s">
        <v>8</v>
      </c>
      <c r="D18" s="5">
        <v>53</v>
      </c>
      <c r="E18" s="5">
        <v>45</v>
      </c>
    </row>
    <row r="19" spans="1:5" ht="15" thickBot="1">
      <c r="A19" s="3">
        <v>45453.947372685187</v>
      </c>
      <c r="B19" s="4" t="s">
        <v>5</v>
      </c>
      <c r="C19" s="4" t="s">
        <v>9</v>
      </c>
      <c r="D19" s="5">
        <v>398</v>
      </c>
      <c r="E19" s="5">
        <v>33</v>
      </c>
    </row>
    <row r="20" spans="1:5" ht="15" thickBot="1">
      <c r="A20" s="3">
        <v>45463.473680555559</v>
      </c>
      <c r="B20" s="4" t="s">
        <v>11</v>
      </c>
      <c r="C20" s="4" t="s">
        <v>8</v>
      </c>
      <c r="D20" s="5">
        <v>347</v>
      </c>
      <c r="E20" s="5">
        <v>35</v>
      </c>
    </row>
    <row r="21" spans="1:5" ht="15" thickBot="1">
      <c r="A21" s="3">
        <v>45473</v>
      </c>
      <c r="B21" s="4" t="s">
        <v>7</v>
      </c>
      <c r="C21" s="4" t="s">
        <v>9</v>
      </c>
      <c r="D21" s="5">
        <v>319</v>
      </c>
      <c r="E21" s="5">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7D61A-A0EA-4C19-8308-1E100C39E067}">
  <dimension ref="A1:A10"/>
  <sheetViews>
    <sheetView tabSelected="1" workbookViewId="0">
      <selection activeCell="A17" sqref="A17"/>
    </sheetView>
  </sheetViews>
  <sheetFormatPr defaultRowHeight="14"/>
  <cols>
    <col min="1" max="1" width="133.33203125" bestFit="1" customWidth="1"/>
  </cols>
  <sheetData>
    <row r="1" spans="1:1">
      <c r="A1" s="6" t="s">
        <v>12</v>
      </c>
    </row>
    <row r="3" spans="1:1">
      <c r="A3" s="19" t="s">
        <v>38</v>
      </c>
    </row>
    <row r="6" spans="1:1">
      <c r="A6" s="19" t="s">
        <v>39</v>
      </c>
    </row>
    <row r="7" spans="1:1">
      <c r="A7" s="19" t="s">
        <v>40</v>
      </c>
    </row>
    <row r="8" spans="1:1">
      <c r="A8" s="19" t="s">
        <v>41</v>
      </c>
    </row>
    <row r="9" spans="1:1">
      <c r="A9" s="19" t="s">
        <v>33</v>
      </c>
    </row>
    <row r="10" spans="1:1">
      <c r="A10" s="19"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0193-8CA1-445A-BC52-93C3CDC09BBA}">
  <dimension ref="A1:E8"/>
  <sheetViews>
    <sheetView workbookViewId="0">
      <selection activeCell="F5" sqref="F5"/>
    </sheetView>
  </sheetViews>
  <sheetFormatPr defaultRowHeight="14"/>
  <cols>
    <col min="1" max="1" width="12.9140625" bestFit="1" customWidth="1"/>
    <col min="2" max="2" width="12" bestFit="1" customWidth="1"/>
  </cols>
  <sheetData>
    <row r="1" spans="1:5">
      <c r="A1" s="39" t="s">
        <v>13</v>
      </c>
      <c r="B1" s="39"/>
      <c r="C1" s="39"/>
      <c r="D1" s="39"/>
      <c r="E1" s="39"/>
    </row>
    <row r="3" spans="1:5">
      <c r="A3" s="7" t="s">
        <v>14</v>
      </c>
      <c r="B3" t="s">
        <v>16</v>
      </c>
    </row>
    <row r="4" spans="1:5">
      <c r="A4" s="8" t="s">
        <v>10</v>
      </c>
      <c r="B4" s="18">
        <v>467</v>
      </c>
    </row>
    <row r="5" spans="1:5">
      <c r="A5" s="8" t="s">
        <v>11</v>
      </c>
      <c r="B5" s="18">
        <v>347</v>
      </c>
    </row>
    <row r="6" spans="1:5">
      <c r="A6" s="8" t="s">
        <v>7</v>
      </c>
      <c r="B6" s="18">
        <v>2518</v>
      </c>
    </row>
    <row r="7" spans="1:5">
      <c r="A7" s="8" t="s">
        <v>5</v>
      </c>
      <c r="B7" s="18">
        <v>3497</v>
      </c>
    </row>
    <row r="8" spans="1:5">
      <c r="A8" s="8" t="s">
        <v>15</v>
      </c>
      <c r="B8" s="18">
        <v>6829</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EA05-B4D4-4C66-8747-DDF568E059DF}">
  <dimension ref="A1:F23"/>
  <sheetViews>
    <sheetView workbookViewId="0">
      <selection activeCell="G11" sqref="G11"/>
    </sheetView>
  </sheetViews>
  <sheetFormatPr defaultRowHeight="14"/>
  <cols>
    <col min="1" max="1" width="20.75" customWidth="1"/>
  </cols>
  <sheetData>
    <row r="1" spans="1:6">
      <c r="A1" s="39" t="s">
        <v>17</v>
      </c>
      <c r="B1" s="39"/>
      <c r="C1" s="39"/>
      <c r="D1" s="39"/>
      <c r="E1" s="39"/>
      <c r="F1" s="39"/>
    </row>
    <row r="3" spans="1:6" ht="14.5">
      <c r="A3" s="9" t="s">
        <v>0</v>
      </c>
      <c r="B3" s="9" t="s">
        <v>1</v>
      </c>
      <c r="C3" s="9" t="s">
        <v>2</v>
      </c>
      <c r="D3" s="9" t="s">
        <v>3</v>
      </c>
      <c r="E3" s="9" t="s">
        <v>4</v>
      </c>
    </row>
    <row r="4" spans="1:6" ht="14.5">
      <c r="A4" s="10">
        <v>45292</v>
      </c>
      <c r="B4" s="11" t="s">
        <v>5</v>
      </c>
      <c r="C4" s="11" t="s">
        <v>6</v>
      </c>
      <c r="D4" s="12">
        <v>456</v>
      </c>
      <c r="E4" s="12">
        <v>93</v>
      </c>
    </row>
    <row r="5" spans="1:6" ht="14.5">
      <c r="A5" s="10">
        <v>45301.526319444441</v>
      </c>
      <c r="B5" s="11" t="s">
        <v>7</v>
      </c>
      <c r="C5" s="11" t="s">
        <v>8</v>
      </c>
      <c r="D5" s="12">
        <v>348</v>
      </c>
      <c r="E5" s="12">
        <v>56</v>
      </c>
    </row>
    <row r="6" spans="1:6" ht="14.5">
      <c r="A6" s="10">
        <v>45311.052627314813</v>
      </c>
      <c r="B6" s="11" t="s">
        <v>7</v>
      </c>
      <c r="C6" s="11" t="s">
        <v>6</v>
      </c>
      <c r="D6" s="12">
        <v>247</v>
      </c>
      <c r="E6" s="12">
        <v>76</v>
      </c>
    </row>
    <row r="7" spans="1:6" ht="14.5">
      <c r="A7" s="10">
        <v>45320.578946759262</v>
      </c>
      <c r="B7" s="11" t="s">
        <v>5</v>
      </c>
      <c r="C7" s="11" t="s">
        <v>9</v>
      </c>
      <c r="D7" s="12">
        <v>230</v>
      </c>
      <c r="E7" s="12">
        <v>37</v>
      </c>
    </row>
    <row r="8" spans="1:6" ht="14.5">
      <c r="A8" s="10">
        <v>45330.105266203704</v>
      </c>
      <c r="B8" s="11" t="s">
        <v>5</v>
      </c>
      <c r="C8" s="11" t="s">
        <v>6</v>
      </c>
      <c r="D8" s="12">
        <v>281</v>
      </c>
      <c r="E8" s="12">
        <v>50</v>
      </c>
    </row>
    <row r="9" spans="1:6" ht="14.5">
      <c r="A9" s="10">
        <v>45339.631574074076</v>
      </c>
      <c r="B9" s="11" t="s">
        <v>5</v>
      </c>
      <c r="C9" s="11" t="s">
        <v>8</v>
      </c>
      <c r="D9" s="12">
        <v>334</v>
      </c>
      <c r="E9" s="12">
        <v>52</v>
      </c>
    </row>
    <row r="10" spans="1:6" ht="14.5">
      <c r="A10" s="10">
        <v>45349.157893518517</v>
      </c>
      <c r="B10" s="11" t="s">
        <v>7</v>
      </c>
      <c r="C10" s="11" t="s">
        <v>9</v>
      </c>
      <c r="D10" s="12">
        <v>417</v>
      </c>
      <c r="E10" s="12">
        <v>29</v>
      </c>
    </row>
    <row r="11" spans="1:6" ht="14.5">
      <c r="A11" s="10">
        <v>45358.684212962966</v>
      </c>
      <c r="B11" s="11" t="s">
        <v>5</v>
      </c>
      <c r="C11" s="11" t="s">
        <v>9</v>
      </c>
      <c r="D11" s="12">
        <v>441</v>
      </c>
      <c r="E11" s="12">
        <v>44</v>
      </c>
    </row>
    <row r="12" spans="1:6" ht="14.5">
      <c r="A12" s="10">
        <v>45368.210520833331</v>
      </c>
      <c r="B12" s="11" t="s">
        <v>7</v>
      </c>
      <c r="C12" s="11" t="s">
        <v>6</v>
      </c>
      <c r="D12" s="12">
        <v>76</v>
      </c>
      <c r="E12" s="12">
        <v>63</v>
      </c>
    </row>
    <row r="13" spans="1:6" ht="14.5">
      <c r="A13" s="10">
        <v>45377.736840277779</v>
      </c>
      <c r="B13" s="11" t="s">
        <v>5</v>
      </c>
      <c r="C13" s="11" t="s">
        <v>8</v>
      </c>
      <c r="D13" s="12">
        <v>441</v>
      </c>
      <c r="E13" s="12">
        <v>79</v>
      </c>
    </row>
    <row r="14" spans="1:6" ht="14.5">
      <c r="A14" s="10">
        <v>45387.263159722221</v>
      </c>
      <c r="B14" s="11" t="s">
        <v>7</v>
      </c>
      <c r="C14" s="11" t="s">
        <v>6</v>
      </c>
      <c r="D14" s="12">
        <v>205</v>
      </c>
      <c r="E14" s="12">
        <v>23</v>
      </c>
    </row>
    <row r="15" spans="1:6" ht="14.5">
      <c r="A15" s="10">
        <v>45396.789479166669</v>
      </c>
      <c r="B15" s="11" t="s">
        <v>5</v>
      </c>
      <c r="C15" s="11" t="s">
        <v>8</v>
      </c>
      <c r="D15" s="12">
        <v>483</v>
      </c>
      <c r="E15" s="12">
        <v>97</v>
      </c>
    </row>
    <row r="16" spans="1:6" ht="14.5">
      <c r="A16" s="10">
        <v>45406.315787037034</v>
      </c>
      <c r="B16" s="11" t="s">
        <v>10</v>
      </c>
      <c r="C16" s="11" t="s">
        <v>6</v>
      </c>
      <c r="D16" s="12">
        <v>467</v>
      </c>
      <c r="E16" s="12">
        <v>97</v>
      </c>
    </row>
    <row r="17" spans="1:5" ht="14.5">
      <c r="A17" s="10">
        <v>45415.842106481483</v>
      </c>
      <c r="B17" s="11" t="s">
        <v>5</v>
      </c>
      <c r="C17" s="11" t="s">
        <v>6</v>
      </c>
      <c r="D17" s="12">
        <v>380</v>
      </c>
      <c r="E17" s="12">
        <v>92</v>
      </c>
    </row>
    <row r="18" spans="1:5" ht="14.5">
      <c r="A18" s="10">
        <v>45425.368425925924</v>
      </c>
      <c r="B18" s="11" t="s">
        <v>7</v>
      </c>
      <c r="C18" s="11" t="s">
        <v>8</v>
      </c>
      <c r="D18" s="12">
        <v>497</v>
      </c>
      <c r="E18" s="12">
        <v>71</v>
      </c>
    </row>
    <row r="19" spans="1:5" ht="14.5">
      <c r="A19" s="10">
        <v>45434.894733796296</v>
      </c>
      <c r="B19" s="11" t="s">
        <v>7</v>
      </c>
      <c r="C19" s="11" t="s">
        <v>6</v>
      </c>
      <c r="D19" s="12">
        <v>409</v>
      </c>
      <c r="E19" s="12">
        <v>81</v>
      </c>
    </row>
    <row r="20" spans="1:5" ht="14.5">
      <c r="A20" s="10">
        <v>45444.421053240738</v>
      </c>
      <c r="B20" s="11" t="s">
        <v>5</v>
      </c>
      <c r="C20" s="11" t="s">
        <v>8</v>
      </c>
      <c r="D20" s="12">
        <v>53</v>
      </c>
      <c r="E20" s="12">
        <v>45</v>
      </c>
    </row>
    <row r="21" spans="1:5" ht="14.5">
      <c r="A21" s="10">
        <v>45453.947372685187</v>
      </c>
      <c r="B21" s="11" t="s">
        <v>5</v>
      </c>
      <c r="C21" s="11" t="s">
        <v>9</v>
      </c>
      <c r="D21" s="12">
        <v>398</v>
      </c>
      <c r="E21" s="12">
        <v>33</v>
      </c>
    </row>
    <row r="22" spans="1:5" ht="14.5">
      <c r="A22" s="10">
        <v>45463.473680555559</v>
      </c>
      <c r="B22" s="11" t="s">
        <v>11</v>
      </c>
      <c r="C22" s="11" t="s">
        <v>8</v>
      </c>
      <c r="D22" s="12">
        <v>347</v>
      </c>
      <c r="E22" s="12">
        <v>35</v>
      </c>
    </row>
    <row r="23" spans="1:5" ht="14.5">
      <c r="A23" s="10">
        <v>45473</v>
      </c>
      <c r="B23" s="11" t="s">
        <v>7</v>
      </c>
      <c r="C23" s="11" t="s">
        <v>9</v>
      </c>
      <c r="D23" s="12">
        <v>319</v>
      </c>
      <c r="E23" s="12">
        <v>45</v>
      </c>
    </row>
  </sheetData>
  <mergeCells count="1">
    <mergeCell ref="A1:F1"/>
  </mergeCells>
  <conditionalFormatting sqref="D4:D23">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807E9-918C-4286-8992-479E7D4AD316}">
  <sheetPr filterMode="1"/>
  <dimension ref="A1:R66"/>
  <sheetViews>
    <sheetView workbookViewId="0">
      <selection activeCell="C15" sqref="C15"/>
    </sheetView>
  </sheetViews>
  <sheetFormatPr defaultRowHeight="14"/>
  <cols>
    <col min="1" max="1" width="11.4140625" customWidth="1"/>
    <col min="6" max="6" width="13" bestFit="1" customWidth="1"/>
  </cols>
  <sheetData>
    <row r="1" spans="1:17">
      <c r="A1" s="39" t="s">
        <v>18</v>
      </c>
      <c r="B1" s="39"/>
      <c r="C1" s="39"/>
      <c r="D1" s="39"/>
      <c r="E1" s="39"/>
      <c r="F1" s="39"/>
      <c r="G1" s="39"/>
      <c r="H1" s="39"/>
    </row>
    <row r="4" spans="1:17" ht="17.5">
      <c r="C4" s="20" t="s">
        <v>44</v>
      </c>
    </row>
    <row r="5" spans="1:17" ht="18">
      <c r="D5" s="21" t="s">
        <v>45</v>
      </c>
      <c r="E5" s="22"/>
      <c r="F5" s="20"/>
      <c r="I5" s="20"/>
      <c r="J5" s="20"/>
      <c r="K5" s="20"/>
    </row>
    <row r="6" spans="1:17" ht="18">
      <c r="D6" s="20" t="s">
        <v>46</v>
      </c>
      <c r="E6" s="20"/>
      <c r="F6" s="20"/>
      <c r="G6" s="20"/>
      <c r="H6" s="20"/>
      <c r="I6" s="20"/>
      <c r="J6" s="20"/>
      <c r="K6" s="20"/>
    </row>
    <row r="7" spans="1:17" ht="17.5">
      <c r="D7" s="20" t="s">
        <v>47</v>
      </c>
      <c r="E7" s="20"/>
      <c r="F7" s="20"/>
      <c r="G7" s="20"/>
      <c r="H7" s="20"/>
      <c r="I7" s="20"/>
      <c r="J7" s="20"/>
      <c r="K7" s="20"/>
    </row>
    <row r="9" spans="1:17" ht="18">
      <c r="B9" s="23" t="s">
        <v>48</v>
      </c>
    </row>
    <row r="10" spans="1:17" ht="18">
      <c r="B10" s="23" t="s">
        <v>49</v>
      </c>
      <c r="C10" s="20"/>
      <c r="D10" s="20"/>
      <c r="E10" s="20"/>
      <c r="F10" s="20"/>
      <c r="G10" s="20"/>
      <c r="H10" s="20"/>
      <c r="I10" s="20"/>
      <c r="J10" s="20"/>
      <c r="K10" s="20"/>
      <c r="L10" s="20"/>
      <c r="M10" s="20"/>
      <c r="N10" s="20"/>
      <c r="O10" s="20"/>
    </row>
    <row r="11" spans="1:17" ht="14.5" thickBot="1"/>
    <row r="12" spans="1:17">
      <c r="F12" s="24" t="s">
        <v>0</v>
      </c>
      <c r="G12" s="25" t="s">
        <v>1</v>
      </c>
      <c r="H12" s="25" t="s">
        <v>2</v>
      </c>
      <c r="I12" s="25" t="s">
        <v>3</v>
      </c>
      <c r="J12" s="25" t="s">
        <v>4</v>
      </c>
    </row>
    <row r="13" spans="1:17">
      <c r="F13" s="26">
        <v>45425.368425925924</v>
      </c>
      <c r="G13" s="27" t="s">
        <v>7</v>
      </c>
      <c r="H13" s="27" t="s">
        <v>8</v>
      </c>
      <c r="I13" s="27">
        <v>497</v>
      </c>
      <c r="J13" s="27">
        <v>71</v>
      </c>
    </row>
    <row r="14" spans="1:17">
      <c r="F14" s="26">
        <v>45396.789479166669</v>
      </c>
      <c r="G14" s="27" t="s">
        <v>5</v>
      </c>
      <c r="H14" s="27" t="s">
        <v>8</v>
      </c>
      <c r="I14" s="27">
        <v>483</v>
      </c>
      <c r="J14" s="27">
        <v>97</v>
      </c>
    </row>
    <row r="15" spans="1:17">
      <c r="F15" s="26">
        <v>45406.315787037034</v>
      </c>
      <c r="G15" s="27" t="s">
        <v>10</v>
      </c>
      <c r="H15" s="27" t="s">
        <v>6</v>
      </c>
      <c r="I15" s="27">
        <v>467</v>
      </c>
      <c r="J15" s="27">
        <v>97</v>
      </c>
    </row>
    <row r="16" spans="1:17" ht="15.5">
      <c r="F16" s="26">
        <v>45292</v>
      </c>
      <c r="G16" s="27" t="s">
        <v>5</v>
      </c>
      <c r="H16" s="27" t="s">
        <v>6</v>
      </c>
      <c r="I16" s="27">
        <v>456</v>
      </c>
      <c r="J16" s="27">
        <v>93</v>
      </c>
      <c r="L16" s="28" t="s">
        <v>50</v>
      </c>
      <c r="M16" s="28"/>
      <c r="N16" s="28"/>
      <c r="O16" s="28"/>
      <c r="P16" s="28"/>
      <c r="Q16" s="28"/>
    </row>
    <row r="17" spans="6:10">
      <c r="F17" s="26">
        <v>45358.684212962966</v>
      </c>
      <c r="G17" s="27" t="s">
        <v>5</v>
      </c>
      <c r="H17" s="27" t="s">
        <v>9</v>
      </c>
      <c r="I17" s="27">
        <v>441</v>
      </c>
      <c r="J17" s="27">
        <v>44</v>
      </c>
    </row>
    <row r="18" spans="6:10">
      <c r="F18" s="26">
        <v>45377.736840277779</v>
      </c>
      <c r="G18" s="27" t="s">
        <v>5</v>
      </c>
      <c r="H18" s="27" t="s">
        <v>8</v>
      </c>
      <c r="I18" s="27">
        <v>441</v>
      </c>
      <c r="J18" s="27">
        <v>79</v>
      </c>
    </row>
    <row r="19" spans="6:10">
      <c r="F19" s="26">
        <v>45349.157893518517</v>
      </c>
      <c r="G19" s="27" t="s">
        <v>7</v>
      </c>
      <c r="H19" s="27" t="s">
        <v>9</v>
      </c>
      <c r="I19" s="27">
        <v>417</v>
      </c>
      <c r="J19" s="27">
        <v>29</v>
      </c>
    </row>
    <row r="20" spans="6:10">
      <c r="F20" s="26">
        <v>45434.894733796296</v>
      </c>
      <c r="G20" s="27" t="s">
        <v>7</v>
      </c>
      <c r="H20" s="27" t="s">
        <v>6</v>
      </c>
      <c r="I20" s="27">
        <v>409</v>
      </c>
      <c r="J20" s="27">
        <v>81</v>
      </c>
    </row>
    <row r="21" spans="6:10">
      <c r="F21" s="26">
        <v>45453.947372685187</v>
      </c>
      <c r="G21" s="27" t="s">
        <v>5</v>
      </c>
      <c r="H21" s="27" t="s">
        <v>9</v>
      </c>
      <c r="I21" s="27">
        <v>398</v>
      </c>
      <c r="J21" s="27">
        <v>33</v>
      </c>
    </row>
    <row r="22" spans="6:10">
      <c r="F22" s="26">
        <v>45415.842106481483</v>
      </c>
      <c r="G22" s="27" t="s">
        <v>5</v>
      </c>
      <c r="H22" s="27" t="s">
        <v>6</v>
      </c>
      <c r="I22" s="27">
        <v>380</v>
      </c>
      <c r="J22" s="27">
        <v>92</v>
      </c>
    </row>
    <row r="23" spans="6:10">
      <c r="F23" s="26">
        <v>45301.526319444441</v>
      </c>
      <c r="G23" s="27" t="s">
        <v>7</v>
      </c>
      <c r="H23" s="27" t="s">
        <v>8</v>
      </c>
      <c r="I23" s="27">
        <v>348</v>
      </c>
      <c r="J23" s="27">
        <v>56</v>
      </c>
    </row>
    <row r="24" spans="6:10">
      <c r="F24" s="26">
        <v>45463.473680555559</v>
      </c>
      <c r="G24" s="27" t="s">
        <v>11</v>
      </c>
      <c r="H24" s="27" t="s">
        <v>8</v>
      </c>
      <c r="I24" s="27">
        <v>347</v>
      </c>
      <c r="J24" s="27">
        <v>35</v>
      </c>
    </row>
    <row r="25" spans="6:10">
      <c r="F25" s="26">
        <v>45339.631574074076</v>
      </c>
      <c r="G25" s="27" t="s">
        <v>5</v>
      </c>
      <c r="H25" s="27" t="s">
        <v>8</v>
      </c>
      <c r="I25" s="27">
        <v>334</v>
      </c>
      <c r="J25" s="27">
        <v>52</v>
      </c>
    </row>
    <row r="26" spans="6:10">
      <c r="F26" s="26">
        <v>45473</v>
      </c>
      <c r="G26" s="27" t="s">
        <v>7</v>
      </c>
      <c r="H26" s="27" t="s">
        <v>9</v>
      </c>
      <c r="I26" s="27">
        <v>319</v>
      </c>
      <c r="J26" s="27">
        <v>45</v>
      </c>
    </row>
    <row r="27" spans="6:10">
      <c r="F27" s="26">
        <v>45330.105266203704</v>
      </c>
      <c r="G27" s="27" t="s">
        <v>5</v>
      </c>
      <c r="H27" s="27" t="s">
        <v>6</v>
      </c>
      <c r="I27" s="27">
        <v>281</v>
      </c>
      <c r="J27" s="27">
        <v>50</v>
      </c>
    </row>
    <row r="28" spans="6:10">
      <c r="F28" s="26">
        <v>45311.052627314813</v>
      </c>
      <c r="G28" s="27" t="s">
        <v>7</v>
      </c>
      <c r="H28" s="27" t="s">
        <v>6</v>
      </c>
      <c r="I28" s="27">
        <v>247</v>
      </c>
      <c r="J28" s="27">
        <v>76</v>
      </c>
    </row>
    <row r="29" spans="6:10">
      <c r="F29" s="26">
        <v>45320.578946759262</v>
      </c>
      <c r="G29" s="27" t="s">
        <v>5</v>
      </c>
      <c r="H29" s="27" t="s">
        <v>9</v>
      </c>
      <c r="I29" s="27">
        <v>230</v>
      </c>
      <c r="J29" s="27">
        <v>37</v>
      </c>
    </row>
    <row r="30" spans="6:10">
      <c r="F30" s="26">
        <v>45387.263159722221</v>
      </c>
      <c r="G30" s="27" t="s">
        <v>7</v>
      </c>
      <c r="H30" s="27" t="s">
        <v>6</v>
      </c>
      <c r="I30" s="27">
        <v>205</v>
      </c>
      <c r="J30" s="27">
        <v>23</v>
      </c>
    </row>
    <row r="31" spans="6:10">
      <c r="F31" s="26">
        <v>45368.210520833331</v>
      </c>
      <c r="G31" s="27" t="s">
        <v>7</v>
      </c>
      <c r="H31" s="27" t="s">
        <v>6</v>
      </c>
      <c r="I31" s="27">
        <v>76</v>
      </c>
      <c r="J31" s="27">
        <v>63</v>
      </c>
    </row>
    <row r="32" spans="6:10">
      <c r="F32" s="26">
        <v>45444.421053240738</v>
      </c>
      <c r="G32" s="27" t="s">
        <v>5</v>
      </c>
      <c r="H32" s="27" t="s">
        <v>8</v>
      </c>
      <c r="I32" s="27">
        <v>53</v>
      </c>
      <c r="J32" s="27">
        <v>45</v>
      </c>
    </row>
    <row r="34" spans="2:11" ht="15.5">
      <c r="F34" s="30"/>
    </row>
    <row r="35" spans="2:11" ht="18">
      <c r="B35" s="21" t="s">
        <v>51</v>
      </c>
      <c r="C35" s="22"/>
      <c r="D35" s="22"/>
      <c r="E35" s="22"/>
      <c r="F35" s="22"/>
      <c r="G35" s="22"/>
      <c r="H35" s="22"/>
      <c r="I35" s="22"/>
      <c r="J35" s="22"/>
      <c r="K35" s="22"/>
    </row>
    <row r="38" spans="2:11" ht="18">
      <c r="D38" s="21" t="s">
        <v>52</v>
      </c>
      <c r="E38" s="31"/>
    </row>
    <row r="39" spans="2:11" ht="17.5">
      <c r="D39" s="20" t="s">
        <v>53</v>
      </c>
      <c r="E39" s="20"/>
      <c r="F39" s="20"/>
      <c r="G39" s="20"/>
      <c r="H39" s="20"/>
      <c r="I39" s="20"/>
      <c r="J39" s="20"/>
      <c r="K39" s="20"/>
    </row>
    <row r="40" spans="2:11" ht="17.5">
      <c r="C40" s="20"/>
    </row>
    <row r="41" spans="2:11" ht="18">
      <c r="B41" s="23" t="s">
        <v>48</v>
      </c>
      <c r="C41" s="32"/>
    </row>
    <row r="42" spans="2:11" ht="18">
      <c r="B42" s="20" t="s">
        <v>54</v>
      </c>
      <c r="C42" s="20"/>
      <c r="D42" s="20"/>
      <c r="E42" s="20"/>
      <c r="F42" s="20"/>
    </row>
    <row r="43" spans="2:11" ht="14.5" thickBot="1"/>
    <row r="44" spans="2:11" ht="14.5" thickBot="1">
      <c r="F44" s="33" t="s">
        <v>0</v>
      </c>
      <c r="G44" s="34" t="s">
        <v>1</v>
      </c>
      <c r="H44" s="34" t="s">
        <v>2</v>
      </c>
      <c r="I44" s="34" t="s">
        <v>3</v>
      </c>
      <c r="J44" s="34" t="s">
        <v>4</v>
      </c>
    </row>
    <row r="45" spans="2:11" ht="14.5" hidden="1" thickBot="1">
      <c r="F45" s="35">
        <v>45292</v>
      </c>
      <c r="G45" s="36" t="s">
        <v>5</v>
      </c>
      <c r="H45" s="36" t="s">
        <v>6</v>
      </c>
      <c r="I45" s="36">
        <v>456</v>
      </c>
      <c r="J45" s="36">
        <v>93</v>
      </c>
    </row>
    <row r="46" spans="2:11" ht="14.5" hidden="1" thickBot="1">
      <c r="F46" s="35">
        <v>45301.526319444441</v>
      </c>
      <c r="G46" s="36" t="s">
        <v>7</v>
      </c>
      <c r="H46" s="36" t="s">
        <v>8</v>
      </c>
      <c r="I46" s="36">
        <v>348</v>
      </c>
      <c r="J46" s="36">
        <v>56</v>
      </c>
    </row>
    <row r="47" spans="2:11" ht="14.5" hidden="1" thickBot="1">
      <c r="F47" s="35">
        <v>45311.052627314813</v>
      </c>
      <c r="G47" s="36" t="s">
        <v>7</v>
      </c>
      <c r="H47" s="36" t="s">
        <v>6</v>
      </c>
      <c r="I47" s="36">
        <v>247</v>
      </c>
      <c r="J47" s="36">
        <v>76</v>
      </c>
    </row>
    <row r="48" spans="2:11" ht="14.5" thickBot="1">
      <c r="F48" s="35">
        <v>45320.578946759262</v>
      </c>
      <c r="G48" s="36" t="s">
        <v>5</v>
      </c>
      <c r="H48" s="36" t="s">
        <v>9</v>
      </c>
      <c r="I48" s="36">
        <v>230</v>
      </c>
      <c r="J48" s="36">
        <v>37</v>
      </c>
    </row>
    <row r="49" spans="6:10" ht="14.5" hidden="1" thickBot="1">
      <c r="F49" s="35">
        <v>45330.105266203704</v>
      </c>
      <c r="G49" s="36" t="s">
        <v>5</v>
      </c>
      <c r="H49" s="36" t="s">
        <v>6</v>
      </c>
      <c r="I49" s="36">
        <v>281</v>
      </c>
      <c r="J49" s="36">
        <v>50</v>
      </c>
    </row>
    <row r="50" spans="6:10" ht="14.5" hidden="1" thickBot="1">
      <c r="F50" s="35">
        <v>45339.631574074076</v>
      </c>
      <c r="G50" s="36" t="s">
        <v>5</v>
      </c>
      <c r="H50" s="36" t="s">
        <v>8</v>
      </c>
      <c r="I50" s="36">
        <v>334</v>
      </c>
      <c r="J50" s="36">
        <v>52</v>
      </c>
    </row>
    <row r="51" spans="6:10" ht="14.5" thickBot="1">
      <c r="F51" s="35">
        <v>45349.157893518517</v>
      </c>
      <c r="G51" s="36" t="s">
        <v>7</v>
      </c>
      <c r="H51" s="36" t="s">
        <v>9</v>
      </c>
      <c r="I51" s="36">
        <v>417</v>
      </c>
      <c r="J51" s="36">
        <v>29</v>
      </c>
    </row>
    <row r="52" spans="6:10" ht="14.5" thickBot="1">
      <c r="F52" s="35">
        <v>45358.684212962966</v>
      </c>
      <c r="G52" s="36" t="s">
        <v>5</v>
      </c>
      <c r="H52" s="36" t="s">
        <v>9</v>
      </c>
      <c r="I52" s="36">
        <v>441</v>
      </c>
      <c r="J52" s="36">
        <v>44</v>
      </c>
    </row>
    <row r="53" spans="6:10" ht="14.5" hidden="1" thickBot="1">
      <c r="F53" s="35">
        <v>45368.210520833331</v>
      </c>
      <c r="G53" s="36" t="s">
        <v>7</v>
      </c>
      <c r="H53" s="36" t="s">
        <v>6</v>
      </c>
      <c r="I53" s="36">
        <v>76</v>
      </c>
      <c r="J53" s="36">
        <v>63</v>
      </c>
    </row>
    <row r="54" spans="6:10" ht="14.5" hidden="1" thickBot="1">
      <c r="F54" s="35">
        <v>45377.736840277779</v>
      </c>
      <c r="G54" s="36" t="s">
        <v>5</v>
      </c>
      <c r="H54" s="36" t="s">
        <v>8</v>
      </c>
      <c r="I54" s="36">
        <v>441</v>
      </c>
      <c r="J54" s="36">
        <v>79</v>
      </c>
    </row>
    <row r="55" spans="6:10" ht="14.5" hidden="1" thickBot="1">
      <c r="F55" s="35">
        <v>45387.263159722221</v>
      </c>
      <c r="G55" s="36" t="s">
        <v>7</v>
      </c>
      <c r="H55" s="36" t="s">
        <v>6</v>
      </c>
      <c r="I55" s="36">
        <v>205</v>
      </c>
      <c r="J55" s="36">
        <v>23</v>
      </c>
    </row>
    <row r="56" spans="6:10" ht="14.5" hidden="1" thickBot="1">
      <c r="F56" s="35">
        <v>45396.789479166669</v>
      </c>
      <c r="G56" s="36" t="s">
        <v>5</v>
      </c>
      <c r="H56" s="36" t="s">
        <v>8</v>
      </c>
      <c r="I56" s="36">
        <v>483</v>
      </c>
      <c r="J56" s="36">
        <v>97</v>
      </c>
    </row>
    <row r="57" spans="6:10" ht="14.5" hidden="1" thickBot="1">
      <c r="F57" s="35">
        <v>45406.315787037034</v>
      </c>
      <c r="G57" s="36" t="s">
        <v>10</v>
      </c>
      <c r="H57" s="36" t="s">
        <v>6</v>
      </c>
      <c r="I57" s="36">
        <v>467</v>
      </c>
      <c r="J57" s="36">
        <v>97</v>
      </c>
    </row>
    <row r="58" spans="6:10" ht="14.5" hidden="1" thickBot="1">
      <c r="F58" s="35">
        <v>45415.842106481483</v>
      </c>
      <c r="G58" s="36" t="s">
        <v>5</v>
      </c>
      <c r="H58" s="36" t="s">
        <v>6</v>
      </c>
      <c r="I58" s="36">
        <v>380</v>
      </c>
      <c r="J58" s="36">
        <v>92</v>
      </c>
    </row>
    <row r="59" spans="6:10" ht="14.5" hidden="1" thickBot="1">
      <c r="F59" s="35">
        <v>45425.368425925924</v>
      </c>
      <c r="G59" s="36" t="s">
        <v>7</v>
      </c>
      <c r="H59" s="36" t="s">
        <v>8</v>
      </c>
      <c r="I59" s="36">
        <v>497</v>
      </c>
      <c r="J59" s="36">
        <v>71</v>
      </c>
    </row>
    <row r="60" spans="6:10" ht="14.5" hidden="1" thickBot="1">
      <c r="F60" s="35">
        <v>45434.894733796296</v>
      </c>
      <c r="G60" s="36" t="s">
        <v>7</v>
      </c>
      <c r="H60" s="36" t="s">
        <v>6</v>
      </c>
      <c r="I60" s="36">
        <v>409</v>
      </c>
      <c r="J60" s="36">
        <v>81</v>
      </c>
    </row>
    <row r="61" spans="6:10" ht="14.5" hidden="1" thickBot="1">
      <c r="F61" s="35">
        <v>45444.421053240738</v>
      </c>
      <c r="G61" s="36" t="s">
        <v>5</v>
      </c>
      <c r="H61" s="36" t="s">
        <v>8</v>
      </c>
      <c r="I61" s="36">
        <v>53</v>
      </c>
      <c r="J61" s="36">
        <v>45</v>
      </c>
    </row>
    <row r="62" spans="6:10" ht="14.5" thickBot="1">
      <c r="F62" s="35">
        <v>45453.947372685187</v>
      </c>
      <c r="G62" s="36" t="s">
        <v>5</v>
      </c>
      <c r="H62" s="36" t="s">
        <v>9</v>
      </c>
      <c r="I62" s="36">
        <v>398</v>
      </c>
      <c r="J62" s="36">
        <v>33</v>
      </c>
    </row>
    <row r="63" spans="6:10" ht="14.5" hidden="1" thickBot="1">
      <c r="F63" s="35">
        <v>45463.473680555559</v>
      </c>
      <c r="G63" s="36" t="s">
        <v>11</v>
      </c>
      <c r="H63" s="36" t="s">
        <v>8</v>
      </c>
      <c r="I63" s="36">
        <v>347</v>
      </c>
      <c r="J63" s="36">
        <v>35</v>
      </c>
    </row>
    <row r="64" spans="6:10" ht="14.5" thickBot="1">
      <c r="F64" s="35">
        <v>45473</v>
      </c>
      <c r="G64" s="36" t="s">
        <v>7</v>
      </c>
      <c r="H64" s="36" t="s">
        <v>9</v>
      </c>
      <c r="I64" s="36">
        <v>319</v>
      </c>
      <c r="J64" s="36">
        <v>45</v>
      </c>
    </row>
    <row r="66" spans="2:18" ht="18">
      <c r="B66" s="22" t="s">
        <v>55</v>
      </c>
      <c r="C66" s="22"/>
      <c r="D66" s="22"/>
      <c r="E66" s="22"/>
      <c r="F66" s="22"/>
      <c r="G66" s="22"/>
      <c r="H66" s="22"/>
      <c r="I66" s="22"/>
      <c r="J66" s="22"/>
      <c r="K66" s="22"/>
      <c r="L66" s="22"/>
      <c r="M66" s="29"/>
      <c r="N66" s="29"/>
      <c r="O66" s="29"/>
      <c r="P66" s="22"/>
      <c r="Q66" s="22"/>
      <c r="R66" s="22"/>
    </row>
  </sheetData>
  <autoFilter ref="F44:J64" xr:uid="{CDD807E9-918C-4286-8992-479E7D4AD316}">
    <filterColumn colId="2">
      <filters>
        <filter val="Apples"/>
      </filters>
    </filterColumn>
  </autoFilter>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777A-4539-4FCF-B400-EF85FD2AF34B}">
  <dimension ref="A1:K26"/>
  <sheetViews>
    <sheetView workbookViewId="0">
      <selection activeCell="H43" sqref="H43"/>
    </sheetView>
  </sheetViews>
  <sheetFormatPr defaultRowHeight="14"/>
  <cols>
    <col min="1" max="1" width="12.9140625" bestFit="1" customWidth="1"/>
    <col min="2" max="2" width="12" bestFit="1" customWidth="1"/>
    <col min="3" max="3" width="8.4140625" bestFit="1" customWidth="1"/>
    <col min="4" max="4" width="8" bestFit="1" customWidth="1"/>
    <col min="5" max="5" width="10.83203125" bestFit="1" customWidth="1"/>
  </cols>
  <sheetData>
    <row r="1" spans="1:11">
      <c r="A1" s="6" t="s">
        <v>19</v>
      </c>
      <c r="B1" s="6"/>
      <c r="C1" s="6"/>
      <c r="D1" s="6"/>
      <c r="E1" s="6"/>
      <c r="H1" s="6" t="s">
        <v>71</v>
      </c>
      <c r="I1" s="6"/>
      <c r="J1" s="6"/>
      <c r="K1" s="6"/>
    </row>
    <row r="3" spans="1:11">
      <c r="A3" s="7" t="s">
        <v>16</v>
      </c>
      <c r="B3" s="7" t="s">
        <v>56</v>
      </c>
    </row>
    <row r="4" spans="1:11">
      <c r="A4" s="7" t="s">
        <v>14</v>
      </c>
      <c r="B4" t="s">
        <v>9</v>
      </c>
      <c r="C4" t="s">
        <v>6</v>
      </c>
      <c r="D4" t="s">
        <v>8</v>
      </c>
      <c r="E4" t="s">
        <v>15</v>
      </c>
    </row>
    <row r="5" spans="1:11">
      <c r="A5" s="8" t="s">
        <v>20</v>
      </c>
      <c r="B5" s="18">
        <v>230</v>
      </c>
      <c r="C5" s="18">
        <v>703</v>
      </c>
      <c r="D5" s="18">
        <v>348</v>
      </c>
      <c r="E5" s="18">
        <v>1281</v>
      </c>
    </row>
    <row r="6" spans="1:11">
      <c r="A6" s="8" t="s">
        <v>21</v>
      </c>
      <c r="B6" s="18">
        <v>417</v>
      </c>
      <c r="C6" s="18">
        <v>281</v>
      </c>
      <c r="D6" s="18">
        <v>334</v>
      </c>
      <c r="E6" s="18">
        <v>1032</v>
      </c>
    </row>
    <row r="7" spans="1:11">
      <c r="A7" s="8" t="s">
        <v>22</v>
      </c>
      <c r="B7" s="18">
        <v>441</v>
      </c>
      <c r="C7" s="18">
        <v>76</v>
      </c>
      <c r="D7" s="18">
        <v>441</v>
      </c>
      <c r="E7" s="18">
        <v>958</v>
      </c>
    </row>
    <row r="8" spans="1:11">
      <c r="A8" s="8" t="s">
        <v>23</v>
      </c>
      <c r="B8" s="18"/>
      <c r="C8" s="18">
        <v>672</v>
      </c>
      <c r="D8" s="18">
        <v>483</v>
      </c>
      <c r="E8" s="18">
        <v>1155</v>
      </c>
    </row>
    <row r="9" spans="1:11">
      <c r="A9" s="8" t="s">
        <v>24</v>
      </c>
      <c r="B9" s="18"/>
      <c r="C9" s="18">
        <v>789</v>
      </c>
      <c r="D9" s="18">
        <v>497</v>
      </c>
      <c r="E9" s="18">
        <v>1286</v>
      </c>
    </row>
    <row r="10" spans="1:11">
      <c r="A10" s="8" t="s">
        <v>25</v>
      </c>
      <c r="B10" s="18">
        <v>717</v>
      </c>
      <c r="C10" s="18"/>
      <c r="D10" s="18">
        <v>400</v>
      </c>
      <c r="E10" s="18">
        <v>1117</v>
      </c>
    </row>
    <row r="11" spans="1:11">
      <c r="A11" s="8" t="s">
        <v>15</v>
      </c>
      <c r="B11" s="18">
        <v>1805</v>
      </c>
      <c r="C11" s="18">
        <v>2521</v>
      </c>
      <c r="D11" s="18">
        <v>2503</v>
      </c>
      <c r="E11" s="18">
        <v>6829</v>
      </c>
    </row>
    <row r="16" spans="1:11">
      <c r="A16" s="7" t="s">
        <v>14</v>
      </c>
      <c r="B16" t="s">
        <v>16</v>
      </c>
    </row>
    <row r="17" spans="1:3">
      <c r="A17" s="8" t="s">
        <v>20</v>
      </c>
      <c r="B17" s="18">
        <v>1281</v>
      </c>
    </row>
    <row r="18" spans="1:3">
      <c r="A18" s="8" t="s">
        <v>21</v>
      </c>
      <c r="B18" s="18">
        <v>1032</v>
      </c>
    </row>
    <row r="19" spans="1:3">
      <c r="A19" s="8" t="s">
        <v>22</v>
      </c>
      <c r="B19" s="18">
        <v>958</v>
      </c>
    </row>
    <row r="20" spans="1:3">
      <c r="A20" s="8" t="s">
        <v>23</v>
      </c>
      <c r="B20" s="18">
        <v>1155</v>
      </c>
    </row>
    <row r="21" spans="1:3">
      <c r="A21" s="8" t="s">
        <v>24</v>
      </c>
      <c r="B21" s="18">
        <v>1286</v>
      </c>
    </row>
    <row r="22" spans="1:3">
      <c r="A22" s="8" t="s">
        <v>25</v>
      </c>
      <c r="B22" s="18">
        <v>1117</v>
      </c>
    </row>
    <row r="23" spans="1:3">
      <c r="A23" s="8" t="s">
        <v>15</v>
      </c>
      <c r="B23" s="18">
        <v>6829</v>
      </c>
    </row>
    <row r="26" spans="1:3">
      <c r="A26" s="6" t="s">
        <v>78</v>
      </c>
      <c r="B26" s="6"/>
      <c r="C26" s="6"/>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07EF-A258-4078-91D1-C756F4FDE710}">
  <dimension ref="A1:E34"/>
  <sheetViews>
    <sheetView workbookViewId="0">
      <selection activeCell="F30" sqref="F30"/>
    </sheetView>
  </sheetViews>
  <sheetFormatPr defaultRowHeight="14"/>
  <cols>
    <col min="1" max="1" width="25.58203125" customWidth="1"/>
    <col min="3" max="3" width="9.4140625" customWidth="1"/>
    <col min="5" max="5" width="10.1640625" customWidth="1"/>
  </cols>
  <sheetData>
    <row r="1" spans="1:5">
      <c r="A1" s="6" t="s">
        <v>26</v>
      </c>
      <c r="B1" s="6"/>
      <c r="C1" s="6"/>
      <c r="D1" s="6"/>
      <c r="E1" s="6"/>
    </row>
    <row r="14" spans="1:5" ht="15" thickBot="1">
      <c r="A14" s="13" t="s">
        <v>0</v>
      </c>
      <c r="B14" s="14" t="s">
        <v>1</v>
      </c>
      <c r="C14" s="14" t="s">
        <v>2</v>
      </c>
      <c r="D14" s="14" t="s">
        <v>3</v>
      </c>
      <c r="E14" s="14" t="s">
        <v>4</v>
      </c>
    </row>
    <row r="15" spans="1:5" ht="15" thickBot="1">
      <c r="A15" s="3">
        <v>45292</v>
      </c>
      <c r="B15" s="4" t="s">
        <v>5</v>
      </c>
      <c r="C15" s="4" t="s">
        <v>6</v>
      </c>
      <c r="D15" s="5">
        <v>456</v>
      </c>
      <c r="E15" s="5">
        <v>93</v>
      </c>
    </row>
    <row r="16" spans="1:5" ht="15" hidden="1" thickBot="1">
      <c r="A16" s="3">
        <v>45301.526319444441</v>
      </c>
      <c r="B16" s="4" t="s">
        <v>7</v>
      </c>
      <c r="C16" s="4" t="s">
        <v>8</v>
      </c>
      <c r="D16" s="5">
        <v>348</v>
      </c>
      <c r="E16" s="5">
        <v>56</v>
      </c>
    </row>
    <row r="17" spans="1:5" ht="15" thickBot="1">
      <c r="A17" s="3">
        <v>45311.052627314813</v>
      </c>
      <c r="B17" s="4" t="s">
        <v>7</v>
      </c>
      <c r="C17" s="4" t="s">
        <v>6</v>
      </c>
      <c r="D17" s="5">
        <v>247</v>
      </c>
      <c r="E17" s="5">
        <v>76</v>
      </c>
    </row>
    <row r="18" spans="1:5" ht="15" hidden="1" thickBot="1">
      <c r="A18" s="3">
        <v>45320.578946759262</v>
      </c>
      <c r="B18" s="4" t="s">
        <v>5</v>
      </c>
      <c r="C18" s="4" t="s">
        <v>9</v>
      </c>
      <c r="D18" s="5">
        <v>230</v>
      </c>
      <c r="E18" s="5">
        <v>37</v>
      </c>
    </row>
    <row r="19" spans="1:5" ht="15" thickBot="1">
      <c r="A19" s="3">
        <v>45330.105266203704</v>
      </c>
      <c r="B19" s="4" t="s">
        <v>5</v>
      </c>
      <c r="C19" s="4" t="s">
        <v>6</v>
      </c>
      <c r="D19" s="5">
        <v>281</v>
      </c>
      <c r="E19" s="5">
        <v>50</v>
      </c>
    </row>
    <row r="20" spans="1:5" ht="15" hidden="1" thickBot="1">
      <c r="A20" s="3">
        <v>45339.631574074076</v>
      </c>
      <c r="B20" s="4" t="s">
        <v>5</v>
      </c>
      <c r="C20" s="4" t="s">
        <v>8</v>
      </c>
      <c r="D20" s="5">
        <v>334</v>
      </c>
      <c r="E20" s="5">
        <v>52</v>
      </c>
    </row>
    <row r="21" spans="1:5" ht="15" hidden="1" thickBot="1">
      <c r="A21" s="3">
        <v>45349.157893518517</v>
      </c>
      <c r="B21" s="4" t="s">
        <v>7</v>
      </c>
      <c r="C21" s="4" t="s">
        <v>9</v>
      </c>
      <c r="D21" s="5">
        <v>417</v>
      </c>
      <c r="E21" s="5">
        <v>29</v>
      </c>
    </row>
    <row r="22" spans="1:5" ht="15" hidden="1" thickBot="1">
      <c r="A22" s="3">
        <v>45358.684212962966</v>
      </c>
      <c r="B22" s="4" t="s">
        <v>5</v>
      </c>
      <c r="C22" s="4" t="s">
        <v>9</v>
      </c>
      <c r="D22" s="5">
        <v>441</v>
      </c>
      <c r="E22" s="5">
        <v>44</v>
      </c>
    </row>
    <row r="23" spans="1:5" ht="15" thickBot="1">
      <c r="A23" s="3">
        <v>45368.210520833331</v>
      </c>
      <c r="B23" s="4" t="s">
        <v>7</v>
      </c>
      <c r="C23" s="4" t="s">
        <v>6</v>
      </c>
      <c r="D23" s="5">
        <v>76</v>
      </c>
      <c r="E23" s="5">
        <v>63</v>
      </c>
    </row>
    <row r="24" spans="1:5" ht="15" hidden="1" thickBot="1">
      <c r="A24" s="3">
        <v>45377.736840277779</v>
      </c>
      <c r="B24" s="4" t="s">
        <v>5</v>
      </c>
      <c r="C24" s="4" t="s">
        <v>8</v>
      </c>
      <c r="D24" s="5">
        <v>441</v>
      </c>
      <c r="E24" s="5">
        <v>79</v>
      </c>
    </row>
    <row r="25" spans="1:5" ht="15" thickBot="1">
      <c r="A25" s="3">
        <v>45387.263159722221</v>
      </c>
      <c r="B25" s="4" t="s">
        <v>7</v>
      </c>
      <c r="C25" s="4" t="s">
        <v>6</v>
      </c>
      <c r="D25" s="5">
        <v>205</v>
      </c>
      <c r="E25" s="5">
        <v>23</v>
      </c>
    </row>
    <row r="26" spans="1:5" ht="15" hidden="1" thickBot="1">
      <c r="A26" s="3">
        <v>45396.789479166669</v>
      </c>
      <c r="B26" s="4" t="s">
        <v>5</v>
      </c>
      <c r="C26" s="4" t="s">
        <v>8</v>
      </c>
      <c r="D26" s="5">
        <v>483</v>
      </c>
      <c r="E26" s="5">
        <v>97</v>
      </c>
    </row>
    <row r="27" spans="1:5" ht="15" thickBot="1">
      <c r="A27" s="3">
        <v>45406.315787037034</v>
      </c>
      <c r="B27" s="4" t="s">
        <v>10</v>
      </c>
      <c r="C27" s="4" t="s">
        <v>6</v>
      </c>
      <c r="D27" s="5">
        <v>467</v>
      </c>
      <c r="E27" s="5">
        <v>97</v>
      </c>
    </row>
    <row r="28" spans="1:5" ht="15" thickBot="1">
      <c r="A28" s="3">
        <v>45415.842106481483</v>
      </c>
      <c r="B28" s="4" t="s">
        <v>5</v>
      </c>
      <c r="C28" s="4" t="s">
        <v>6</v>
      </c>
      <c r="D28" s="5">
        <v>380</v>
      </c>
      <c r="E28" s="5">
        <v>92</v>
      </c>
    </row>
    <row r="29" spans="1:5" ht="15" hidden="1" thickBot="1">
      <c r="A29" s="3">
        <v>45425.368425925924</v>
      </c>
      <c r="B29" s="4" t="s">
        <v>7</v>
      </c>
      <c r="C29" s="4" t="s">
        <v>8</v>
      </c>
      <c r="D29" s="5">
        <v>497</v>
      </c>
      <c r="E29" s="5">
        <v>71</v>
      </c>
    </row>
    <row r="30" spans="1:5" ht="15" thickBot="1">
      <c r="A30" s="3">
        <v>45434.894733796296</v>
      </c>
      <c r="B30" s="4" t="s">
        <v>7</v>
      </c>
      <c r="C30" s="4" t="s">
        <v>6</v>
      </c>
      <c r="D30" s="5">
        <v>409</v>
      </c>
      <c r="E30" s="5">
        <v>81</v>
      </c>
    </row>
    <row r="31" spans="1:5" ht="15" hidden="1" thickBot="1">
      <c r="A31" s="3">
        <v>45444.421053240738</v>
      </c>
      <c r="B31" s="4" t="s">
        <v>5</v>
      </c>
      <c r="C31" s="4" t="s">
        <v>8</v>
      </c>
      <c r="D31" s="5">
        <v>53</v>
      </c>
      <c r="E31" s="5">
        <v>45</v>
      </c>
    </row>
    <row r="32" spans="1:5" ht="15" hidden="1" thickBot="1">
      <c r="A32" s="3">
        <v>45453.947372685187</v>
      </c>
      <c r="B32" s="4" t="s">
        <v>5</v>
      </c>
      <c r="C32" s="4" t="s">
        <v>9</v>
      </c>
      <c r="D32" s="5">
        <v>398</v>
      </c>
      <c r="E32" s="5">
        <v>33</v>
      </c>
    </row>
    <row r="33" spans="1:5" ht="15" hidden="1" thickBot="1">
      <c r="A33" s="3">
        <v>45463.473680555559</v>
      </c>
      <c r="B33" s="4" t="s">
        <v>11</v>
      </c>
      <c r="C33" s="4" t="s">
        <v>8</v>
      </c>
      <c r="D33" s="5">
        <v>347</v>
      </c>
      <c r="E33" s="5">
        <v>35</v>
      </c>
    </row>
    <row r="34" spans="1:5" ht="14.5" hidden="1">
      <c r="A34" s="15">
        <v>45473</v>
      </c>
      <c r="B34" s="16" t="s">
        <v>7</v>
      </c>
      <c r="C34" s="16" t="s">
        <v>9</v>
      </c>
      <c r="D34" s="17">
        <v>319</v>
      </c>
      <c r="E34" s="17">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B45A1-9F55-4A97-8DC1-FFE766A08FF2}">
  <dimension ref="A1:A12"/>
  <sheetViews>
    <sheetView workbookViewId="0"/>
  </sheetViews>
  <sheetFormatPr defaultRowHeight="14"/>
  <cols>
    <col min="1" max="1" width="199.33203125" bestFit="1" customWidth="1"/>
  </cols>
  <sheetData>
    <row r="1" spans="1:1">
      <c r="A1" s="6" t="s">
        <v>29</v>
      </c>
    </row>
    <row r="4" spans="1:1">
      <c r="A4" s="19" t="s">
        <v>37</v>
      </c>
    </row>
    <row r="6" spans="1:1">
      <c r="A6" t="s">
        <v>30</v>
      </c>
    </row>
    <row r="7" spans="1:1">
      <c r="A7" t="s">
        <v>31</v>
      </c>
    </row>
    <row r="8" spans="1:1">
      <c r="A8" t="s">
        <v>32</v>
      </c>
    </row>
    <row r="9" spans="1:1">
      <c r="A9" t="s">
        <v>33</v>
      </c>
    </row>
    <row r="10" spans="1:1">
      <c r="A10" t="s">
        <v>34</v>
      </c>
    </row>
    <row r="11" spans="1:1">
      <c r="A11" t="s">
        <v>35</v>
      </c>
    </row>
    <row r="12" spans="1:1">
      <c r="A12" t="s">
        <v>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A50D-3B4B-4C38-8674-72A2E3B7C5B9}">
  <dimension ref="A1:E21"/>
  <sheetViews>
    <sheetView workbookViewId="0">
      <selection sqref="A1:E21"/>
    </sheetView>
  </sheetViews>
  <sheetFormatPr defaultRowHeight="14"/>
  <cols>
    <col min="1" max="1" width="14.5" bestFit="1" customWidth="1"/>
    <col min="2" max="2" width="6.4140625" bestFit="1" customWidth="1"/>
    <col min="3" max="3" width="8.4140625" bestFit="1" customWidth="1"/>
    <col min="4" max="4" width="5" bestFit="1" customWidth="1"/>
    <col min="5" max="5" width="8.1640625" bestFit="1" customWidth="1"/>
  </cols>
  <sheetData>
    <row r="1" spans="1:5" ht="15" thickBot="1">
      <c r="A1" s="1" t="s">
        <v>0</v>
      </c>
      <c r="B1" s="2" t="s">
        <v>1</v>
      </c>
      <c r="C1" s="2" t="s">
        <v>2</v>
      </c>
      <c r="D1" s="2" t="s">
        <v>3</v>
      </c>
      <c r="E1" s="2" t="s">
        <v>4</v>
      </c>
    </row>
    <row r="2" spans="1:5" ht="15" thickBot="1">
      <c r="A2" s="3">
        <v>45292</v>
      </c>
      <c r="B2" s="4" t="s">
        <v>5</v>
      </c>
      <c r="C2" s="4" t="s">
        <v>6</v>
      </c>
      <c r="D2" s="5">
        <v>456</v>
      </c>
      <c r="E2" s="5">
        <v>93</v>
      </c>
    </row>
    <row r="3" spans="1:5" ht="15" thickBot="1">
      <c r="A3" s="3">
        <v>45301.526319444441</v>
      </c>
      <c r="B3" s="4" t="s">
        <v>7</v>
      </c>
      <c r="C3" s="4" t="s">
        <v>8</v>
      </c>
      <c r="D3" s="5">
        <v>348</v>
      </c>
      <c r="E3" s="5">
        <v>56</v>
      </c>
    </row>
    <row r="4" spans="1:5" ht="15" thickBot="1">
      <c r="A4" s="3">
        <v>45311.052627314813</v>
      </c>
      <c r="B4" s="4" t="s">
        <v>7</v>
      </c>
      <c r="C4" s="4" t="s">
        <v>6</v>
      </c>
      <c r="D4" s="5">
        <v>247</v>
      </c>
      <c r="E4" s="5">
        <v>76</v>
      </c>
    </row>
    <row r="5" spans="1:5" ht="15" thickBot="1">
      <c r="A5" s="3">
        <v>45320.578946759262</v>
      </c>
      <c r="B5" s="4" t="s">
        <v>5</v>
      </c>
      <c r="C5" s="4" t="s">
        <v>9</v>
      </c>
      <c r="D5" s="5">
        <v>230</v>
      </c>
      <c r="E5" s="5">
        <v>37</v>
      </c>
    </row>
    <row r="6" spans="1:5" ht="15" thickBot="1">
      <c r="A6" s="3">
        <v>45330.105266203704</v>
      </c>
      <c r="B6" s="4" t="s">
        <v>5</v>
      </c>
      <c r="C6" s="4" t="s">
        <v>6</v>
      </c>
      <c r="D6" s="5">
        <v>281</v>
      </c>
      <c r="E6" s="5">
        <v>50</v>
      </c>
    </row>
    <row r="7" spans="1:5" ht="15" thickBot="1">
      <c r="A7" s="3">
        <v>45339.631574074076</v>
      </c>
      <c r="B7" s="4" t="s">
        <v>5</v>
      </c>
      <c r="C7" s="4" t="s">
        <v>8</v>
      </c>
      <c r="D7" s="5">
        <v>334</v>
      </c>
      <c r="E7" s="5">
        <v>52</v>
      </c>
    </row>
    <row r="8" spans="1:5" ht="15" thickBot="1">
      <c r="A8" s="3">
        <v>45349.157893518517</v>
      </c>
      <c r="B8" s="4" t="s">
        <v>7</v>
      </c>
      <c r="C8" s="4" t="s">
        <v>9</v>
      </c>
      <c r="D8" s="5">
        <v>417</v>
      </c>
      <c r="E8" s="5">
        <v>29</v>
      </c>
    </row>
    <row r="9" spans="1:5" ht="15" thickBot="1">
      <c r="A9" s="3">
        <v>45358.684212962966</v>
      </c>
      <c r="B9" s="4" t="s">
        <v>5</v>
      </c>
      <c r="C9" s="4" t="s">
        <v>9</v>
      </c>
      <c r="D9" s="5">
        <v>441</v>
      </c>
      <c r="E9" s="5">
        <v>44</v>
      </c>
    </row>
    <row r="10" spans="1:5" ht="15" thickBot="1">
      <c r="A10" s="3">
        <v>45368.210520833331</v>
      </c>
      <c r="B10" s="4" t="s">
        <v>7</v>
      </c>
      <c r="C10" s="4" t="s">
        <v>6</v>
      </c>
      <c r="D10" s="5">
        <v>76</v>
      </c>
      <c r="E10" s="5">
        <v>63</v>
      </c>
    </row>
    <row r="11" spans="1:5" ht="15" thickBot="1">
      <c r="A11" s="3">
        <v>45377.736840277779</v>
      </c>
      <c r="B11" s="4" t="s">
        <v>5</v>
      </c>
      <c r="C11" s="4" t="s">
        <v>8</v>
      </c>
      <c r="D11" s="5">
        <v>441</v>
      </c>
      <c r="E11" s="5">
        <v>79</v>
      </c>
    </row>
    <row r="12" spans="1:5" ht="15" thickBot="1">
      <c r="A12" s="3">
        <v>45387.263159722221</v>
      </c>
      <c r="B12" s="4" t="s">
        <v>7</v>
      </c>
      <c r="C12" s="4" t="s">
        <v>6</v>
      </c>
      <c r="D12" s="5">
        <v>205</v>
      </c>
      <c r="E12" s="5">
        <v>23</v>
      </c>
    </row>
    <row r="13" spans="1:5" ht="15" thickBot="1">
      <c r="A13" s="3">
        <v>45396.789479166669</v>
      </c>
      <c r="B13" s="4" t="s">
        <v>5</v>
      </c>
      <c r="C13" s="4" t="s">
        <v>8</v>
      </c>
      <c r="D13" s="5">
        <v>483</v>
      </c>
      <c r="E13" s="5">
        <v>97</v>
      </c>
    </row>
    <row r="14" spans="1:5" ht="15" thickBot="1">
      <c r="A14" s="3">
        <v>45406.315787037034</v>
      </c>
      <c r="B14" s="4" t="s">
        <v>10</v>
      </c>
      <c r="C14" s="4" t="s">
        <v>6</v>
      </c>
      <c r="D14" s="5">
        <v>467</v>
      </c>
      <c r="E14" s="5">
        <v>97</v>
      </c>
    </row>
    <row r="15" spans="1:5" ht="15" thickBot="1">
      <c r="A15" s="3">
        <v>45415.842106481483</v>
      </c>
      <c r="B15" s="4" t="s">
        <v>5</v>
      </c>
      <c r="C15" s="4" t="s">
        <v>6</v>
      </c>
      <c r="D15" s="5">
        <v>380</v>
      </c>
      <c r="E15" s="5">
        <v>92</v>
      </c>
    </row>
    <row r="16" spans="1:5" ht="15" thickBot="1">
      <c r="A16" s="3">
        <v>45425.368425925924</v>
      </c>
      <c r="B16" s="4" t="s">
        <v>7</v>
      </c>
      <c r="C16" s="4" t="s">
        <v>8</v>
      </c>
      <c r="D16" s="5">
        <v>497</v>
      </c>
      <c r="E16" s="5">
        <v>71</v>
      </c>
    </row>
    <row r="17" spans="1:5" ht="15" thickBot="1">
      <c r="A17" s="3">
        <v>45434.894733796296</v>
      </c>
      <c r="B17" s="4" t="s">
        <v>7</v>
      </c>
      <c r="C17" s="4" t="s">
        <v>6</v>
      </c>
      <c r="D17" s="5">
        <v>409</v>
      </c>
      <c r="E17" s="5">
        <v>81</v>
      </c>
    </row>
    <row r="18" spans="1:5" ht="15" thickBot="1">
      <c r="A18" s="3">
        <v>45444.421053240738</v>
      </c>
      <c r="B18" s="4" t="s">
        <v>5</v>
      </c>
      <c r="C18" s="4" t="s">
        <v>8</v>
      </c>
      <c r="D18" s="5">
        <v>53</v>
      </c>
      <c r="E18" s="5">
        <v>45</v>
      </c>
    </row>
    <row r="19" spans="1:5" ht="15" thickBot="1">
      <c r="A19" s="3">
        <v>45453.947372685187</v>
      </c>
      <c r="B19" s="4" t="s">
        <v>5</v>
      </c>
      <c r="C19" s="4" t="s">
        <v>9</v>
      </c>
      <c r="D19" s="5">
        <v>398</v>
      </c>
      <c r="E19" s="5">
        <v>33</v>
      </c>
    </row>
    <row r="20" spans="1:5" ht="15" thickBot="1">
      <c r="A20" s="3">
        <v>45463.473680555559</v>
      </c>
      <c r="B20" s="4" t="s">
        <v>11</v>
      </c>
      <c r="C20" s="4" t="s">
        <v>8</v>
      </c>
      <c r="D20" s="5">
        <v>347</v>
      </c>
      <c r="E20" s="5">
        <v>35</v>
      </c>
    </row>
    <row r="21" spans="1:5" ht="15" thickBot="1">
      <c r="A21" s="3">
        <v>45473</v>
      </c>
      <c r="B21" s="4" t="s">
        <v>7</v>
      </c>
      <c r="C21" s="4" t="s">
        <v>9</v>
      </c>
      <c r="D21" s="5">
        <v>319</v>
      </c>
      <c r="E21" s="5">
        <v>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999F-9715-40AD-9193-812E2B82D1B6}">
  <dimension ref="A1:N17"/>
  <sheetViews>
    <sheetView workbookViewId="0">
      <selection activeCell="J11" sqref="J11"/>
    </sheetView>
  </sheetViews>
  <sheetFormatPr defaultRowHeight="14"/>
  <cols>
    <col min="1" max="2" width="8.6640625" style="38"/>
    <col min="3" max="3" width="12.9140625" style="38" bestFit="1" customWidth="1"/>
    <col min="4" max="4" width="12" style="38" bestFit="1" customWidth="1"/>
    <col min="5" max="7" width="8.6640625" style="38"/>
    <col min="8" max="8" width="17.5" style="38" customWidth="1"/>
    <col min="9" max="12" width="8.6640625" style="38"/>
    <col min="13" max="13" width="12.9140625" style="38" bestFit="1" customWidth="1"/>
    <col min="14" max="14" width="12" style="38" bestFit="1" customWidth="1"/>
    <col min="15" max="16384" width="8.6640625" style="38"/>
  </cols>
  <sheetData>
    <row r="1" spans="1:14">
      <c r="A1" s="6" t="s">
        <v>82</v>
      </c>
      <c r="B1" s="6"/>
      <c r="C1" s="6"/>
    </row>
    <row r="2" spans="1:14">
      <c r="C2" s="44" t="s">
        <v>86</v>
      </c>
      <c r="D2" s="38" t="s">
        <v>83</v>
      </c>
    </row>
    <row r="3" spans="1:14">
      <c r="C3" s="44" t="s">
        <v>86</v>
      </c>
      <c r="D3" s="38" t="s">
        <v>84</v>
      </c>
    </row>
    <row r="4" spans="1:14">
      <c r="C4" s="44" t="s">
        <v>86</v>
      </c>
      <c r="D4" s="38" t="s">
        <v>85</v>
      </c>
    </row>
    <row r="6" spans="1:14" ht="20">
      <c r="H6" s="43" t="s">
        <v>81</v>
      </c>
    </row>
    <row r="10" spans="1:14">
      <c r="C10" s="7" t="s">
        <v>14</v>
      </c>
      <c r="D10" t="s">
        <v>16</v>
      </c>
      <c r="M10" s="7" t="s">
        <v>14</v>
      </c>
      <c r="N10" t="s">
        <v>16</v>
      </c>
    </row>
    <row r="11" spans="1:14">
      <c r="C11" s="8" t="s">
        <v>20</v>
      </c>
      <c r="D11" s="18">
        <v>1281</v>
      </c>
      <c r="M11" s="8" t="s">
        <v>10</v>
      </c>
      <c r="N11" s="18">
        <v>467</v>
      </c>
    </row>
    <row r="12" spans="1:14">
      <c r="C12" s="8" t="s">
        <v>21</v>
      </c>
      <c r="D12" s="18">
        <v>1032</v>
      </c>
      <c r="M12" s="8" t="s">
        <v>11</v>
      </c>
      <c r="N12" s="18">
        <v>347</v>
      </c>
    </row>
    <row r="13" spans="1:14">
      <c r="C13" s="8" t="s">
        <v>22</v>
      </c>
      <c r="D13" s="18">
        <v>958</v>
      </c>
      <c r="M13" s="8" t="s">
        <v>7</v>
      </c>
      <c r="N13" s="18">
        <v>2518</v>
      </c>
    </row>
    <row r="14" spans="1:14">
      <c r="C14" s="8" t="s">
        <v>23</v>
      </c>
      <c r="D14" s="18">
        <v>1155</v>
      </c>
      <c r="M14" s="8" t="s">
        <v>5</v>
      </c>
      <c r="N14" s="18">
        <v>3497</v>
      </c>
    </row>
    <row r="15" spans="1:14">
      <c r="C15" s="8" t="s">
        <v>24</v>
      </c>
      <c r="D15" s="18">
        <v>1286</v>
      </c>
      <c r="M15" s="8" t="s">
        <v>15</v>
      </c>
      <c r="N15" s="18">
        <v>6829</v>
      </c>
    </row>
    <row r="16" spans="1:14">
      <c r="C16" s="8" t="s">
        <v>25</v>
      </c>
      <c r="D16" s="18">
        <v>1117</v>
      </c>
    </row>
    <row r="17" spans="3:4">
      <c r="C17" s="8" t="s">
        <v>15</v>
      </c>
      <c r="D17" s="18">
        <v>6829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84D9B-13D7-4267-8332-E72331D221FB}">
  <dimension ref="A1:H30"/>
  <sheetViews>
    <sheetView workbookViewId="0">
      <selection activeCell="G11" sqref="G11"/>
    </sheetView>
  </sheetViews>
  <sheetFormatPr defaultRowHeight="14"/>
  <cols>
    <col min="1" max="1" width="12.9140625" bestFit="1" customWidth="1"/>
    <col min="2" max="2" width="15.25" bestFit="1" customWidth="1"/>
  </cols>
  <sheetData>
    <row r="1" spans="1:8">
      <c r="A1" s="6" t="s">
        <v>27</v>
      </c>
      <c r="B1" s="6"/>
      <c r="C1" s="6"/>
      <c r="D1" s="6"/>
      <c r="E1" s="6"/>
      <c r="F1" s="6"/>
      <c r="G1" s="6"/>
      <c r="H1" s="6"/>
    </row>
    <row r="3" spans="1:8">
      <c r="A3" s="7" t="s">
        <v>14</v>
      </c>
      <c r="B3" t="s">
        <v>28</v>
      </c>
    </row>
    <row r="4" spans="1:8">
      <c r="A4" s="8" t="s">
        <v>20</v>
      </c>
      <c r="B4" s="18">
        <v>320.25</v>
      </c>
    </row>
    <row r="5" spans="1:8">
      <c r="A5" s="37" t="s">
        <v>72</v>
      </c>
      <c r="B5" s="18">
        <v>456</v>
      </c>
    </row>
    <row r="6" spans="1:8">
      <c r="A6" s="37" t="s">
        <v>57</v>
      </c>
      <c r="B6" s="18">
        <v>348</v>
      </c>
    </row>
    <row r="7" spans="1:8">
      <c r="A7" s="37" t="s">
        <v>58</v>
      </c>
      <c r="B7" s="18">
        <v>247</v>
      </c>
    </row>
    <row r="8" spans="1:8">
      <c r="A8" s="37" t="s">
        <v>59</v>
      </c>
      <c r="B8" s="18">
        <v>230</v>
      </c>
    </row>
    <row r="9" spans="1:8">
      <c r="A9" s="8" t="s">
        <v>21</v>
      </c>
      <c r="B9" s="18">
        <v>344</v>
      </c>
    </row>
    <row r="10" spans="1:8">
      <c r="A10" s="37" t="s">
        <v>73</v>
      </c>
      <c r="B10" s="18">
        <v>281</v>
      </c>
    </row>
    <row r="11" spans="1:8">
      <c r="A11" s="37" t="s">
        <v>60</v>
      </c>
      <c r="B11" s="18">
        <v>334</v>
      </c>
    </row>
    <row r="12" spans="1:8">
      <c r="A12" s="37" t="s">
        <v>61</v>
      </c>
      <c r="B12" s="18">
        <v>417</v>
      </c>
    </row>
    <row r="13" spans="1:8">
      <c r="A13" s="8" t="s">
        <v>22</v>
      </c>
      <c r="B13" s="18">
        <v>319.33333333333331</v>
      </c>
    </row>
    <row r="14" spans="1:8">
      <c r="A14" s="37" t="s">
        <v>74</v>
      </c>
      <c r="B14" s="18">
        <v>441</v>
      </c>
    </row>
    <row r="15" spans="1:8">
      <c r="A15" s="37" t="s">
        <v>62</v>
      </c>
      <c r="B15" s="18">
        <v>76</v>
      </c>
    </row>
    <row r="16" spans="1:8">
      <c r="A16" s="37" t="s">
        <v>63</v>
      </c>
      <c r="B16" s="18">
        <v>441</v>
      </c>
    </row>
    <row r="17" spans="1:2">
      <c r="A17" s="8" t="s">
        <v>23</v>
      </c>
      <c r="B17" s="18">
        <v>385</v>
      </c>
    </row>
    <row r="18" spans="1:2">
      <c r="A18" s="37" t="s">
        <v>75</v>
      </c>
      <c r="B18" s="18">
        <v>205</v>
      </c>
    </row>
    <row r="19" spans="1:2">
      <c r="A19" s="37" t="s">
        <v>64</v>
      </c>
      <c r="B19" s="18">
        <v>483</v>
      </c>
    </row>
    <row r="20" spans="1:2">
      <c r="A20" s="37" t="s">
        <v>65</v>
      </c>
      <c r="B20" s="18">
        <v>467</v>
      </c>
    </row>
    <row r="21" spans="1:2">
      <c r="A21" s="8" t="s">
        <v>24</v>
      </c>
      <c r="B21" s="18">
        <v>428.66666666666669</v>
      </c>
    </row>
    <row r="22" spans="1:2">
      <c r="A22" s="37" t="s">
        <v>76</v>
      </c>
      <c r="B22" s="18">
        <v>380</v>
      </c>
    </row>
    <row r="23" spans="1:2">
      <c r="A23" s="37" t="s">
        <v>66</v>
      </c>
      <c r="B23" s="18">
        <v>497</v>
      </c>
    </row>
    <row r="24" spans="1:2">
      <c r="A24" s="37" t="s">
        <v>67</v>
      </c>
      <c r="B24" s="18">
        <v>409</v>
      </c>
    </row>
    <row r="25" spans="1:2">
      <c r="A25" s="8" t="s">
        <v>25</v>
      </c>
      <c r="B25" s="18">
        <v>279.25</v>
      </c>
    </row>
    <row r="26" spans="1:2">
      <c r="A26" s="37" t="s">
        <v>77</v>
      </c>
      <c r="B26" s="18">
        <v>53</v>
      </c>
    </row>
    <row r="27" spans="1:2">
      <c r="A27" s="37" t="s">
        <v>68</v>
      </c>
      <c r="B27" s="18">
        <v>398</v>
      </c>
    </row>
    <row r="28" spans="1:2">
      <c r="A28" s="37" t="s">
        <v>69</v>
      </c>
      <c r="B28" s="18">
        <v>347</v>
      </c>
    </row>
    <row r="29" spans="1:2">
      <c r="A29" s="37" t="s">
        <v>70</v>
      </c>
      <c r="B29" s="18">
        <v>319</v>
      </c>
    </row>
    <row r="30" spans="1:2">
      <c r="A30" s="8" t="s">
        <v>15</v>
      </c>
      <c r="B30" s="18">
        <v>341.45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3AE5-80C9-437B-A182-A8A818B19929}">
  <dimension ref="A1:J9"/>
  <sheetViews>
    <sheetView workbookViewId="0">
      <selection activeCell="G9" sqref="G9"/>
    </sheetView>
  </sheetViews>
  <sheetFormatPr defaultRowHeight="14"/>
  <cols>
    <col min="1" max="1" width="12.9140625" bestFit="1" customWidth="1"/>
    <col min="2" max="2" width="12" bestFit="1" customWidth="1"/>
  </cols>
  <sheetData>
    <row r="1" spans="1:10">
      <c r="A1" s="41" t="s">
        <v>43</v>
      </c>
      <c r="B1" s="41"/>
      <c r="C1" s="41"/>
      <c r="D1" s="41"/>
      <c r="E1" s="41"/>
      <c r="F1" s="41"/>
      <c r="G1" s="41"/>
      <c r="H1" s="41"/>
      <c r="I1" s="41"/>
      <c r="J1" s="41"/>
    </row>
    <row r="3" spans="1:10">
      <c r="A3" s="7" t="s">
        <v>14</v>
      </c>
      <c r="B3" t="s">
        <v>16</v>
      </c>
    </row>
    <row r="4" spans="1:10">
      <c r="A4" s="8" t="s">
        <v>79</v>
      </c>
      <c r="B4" s="18">
        <v>4308</v>
      </c>
    </row>
    <row r="5" spans="1:10">
      <c r="A5" s="40" t="s">
        <v>9</v>
      </c>
      <c r="B5" s="18">
        <v>1805</v>
      </c>
    </row>
    <row r="6" spans="1:10">
      <c r="A6" s="40" t="s">
        <v>8</v>
      </c>
      <c r="B6" s="18">
        <v>2503</v>
      </c>
    </row>
    <row r="7" spans="1:10">
      <c r="A7" s="8" t="s">
        <v>6</v>
      </c>
      <c r="B7" s="18">
        <v>2521</v>
      </c>
      <c r="D7" s="45" t="s">
        <v>80</v>
      </c>
      <c r="E7" s="45"/>
      <c r="F7" s="42">
        <f>GETPIVOTDATA("Sales",$A$3,"Product2","Fruits")-GETPIVOTDATA("Sales",$A$3,"Product2","Mangoes")</f>
        <v>1787</v>
      </c>
    </row>
    <row r="8" spans="1:10">
      <c r="A8" s="40" t="s">
        <v>6</v>
      </c>
      <c r="B8" s="18">
        <v>2521</v>
      </c>
    </row>
    <row r="9" spans="1:10">
      <c r="A9" s="8" t="s">
        <v>15</v>
      </c>
      <c r="B9" s="18">
        <v>6829</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vt:lpstr>
      <vt:lpstr>Answer 1</vt:lpstr>
      <vt:lpstr>Answer 2</vt:lpstr>
      <vt:lpstr>Answer 3</vt:lpstr>
      <vt:lpstr>Answer 4</vt:lpstr>
      <vt:lpstr>Answer 5</vt:lpstr>
      <vt:lpstr>Answer 6</vt:lpstr>
      <vt:lpstr>Answer 7</vt:lpstr>
      <vt:lpstr>Sheet1</vt:lpstr>
      <vt:lpstr>Answer 8</vt:lpstr>
      <vt:lpstr>Answer 9</vt:lpstr>
      <vt:lpstr>Answers 10</vt:lpstr>
    </vt:vector>
  </TitlesOfParts>
  <Company>IHG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Arora, Diksha</dc:creator>
  <cp:lastModifiedBy>dell</cp:lastModifiedBy>
  <dcterms:created xsi:type="dcterms:W3CDTF">2025-12-24T10:01:36Z</dcterms:created>
  <dcterms:modified xsi:type="dcterms:W3CDTF">2025-12-25T15:36:24Z</dcterms:modified>
</cp:coreProperties>
</file>