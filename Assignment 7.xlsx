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7E3E668-06C1-4AF3-8292-A570091D88DE}" xr6:coauthVersionLast="47" xr6:coauthVersionMax="47" xr10:uidLastSave="{00000000-0000-0000-0000-000000000000}"/>
  <bookViews>
    <workbookView xWindow="-110" yWindow="-110" windowWidth="19420" windowHeight="10420" xr2:uid="{10821053-5F0F-496E-83A0-9C063ADC23ED}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6" r:id="rId6"/>
    <sheet name="Answer 7" sheetId="7" r:id="rId7"/>
    <sheet name="Answer 8" sheetId="8" r:id="rId8"/>
    <sheet name="Answer 9" sheetId="10" r:id="rId9"/>
    <sheet name="Answer 10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10" l="1"/>
  <c r="A11" i="10"/>
  <c r="C12" i="8"/>
  <c r="C13" i="8" s="1"/>
  <c r="C15" i="8" s="1"/>
  <c r="C11" i="8"/>
  <c r="C8" i="8"/>
  <c r="B13" i="7"/>
  <c r="C13" i="3"/>
  <c r="C14" i="3" s="1"/>
  <c r="C12" i="3"/>
  <c r="C9" i="3"/>
  <c r="B17" i="2"/>
  <c r="B18" i="2" s="1"/>
  <c r="B5" i="1"/>
  <c r="B4" i="1"/>
</calcChain>
</file>

<file path=xl/sharedStrings.xml><?xml version="1.0" encoding="utf-8"?>
<sst xmlns="http://schemas.openxmlformats.org/spreadsheetml/2006/main" count="119" uniqueCount="112">
  <si>
    <t>An even number</t>
  </si>
  <si>
    <t>1,2,3,4,5,6</t>
  </si>
  <si>
    <t>2,4,6</t>
  </si>
  <si>
    <t>Even</t>
  </si>
  <si>
    <t>Odd</t>
  </si>
  <si>
    <t>1,3,5</t>
  </si>
  <si>
    <t>Greater than 4</t>
  </si>
  <si>
    <t>5,6</t>
  </si>
  <si>
    <t>A number greater than 4</t>
  </si>
  <si>
    <t>Dice</t>
  </si>
  <si>
    <t>Answer</t>
  </si>
  <si>
    <t>Questions</t>
  </si>
  <si>
    <t>Question 2: In a class of 50 students:</t>
  </si>
  <si>
    <t>Question 1: A die is rolled. What is the probability of getting:</t>
  </si>
  <si>
    <t>. 20 like Mathematics (M)</t>
  </si>
  <si>
    <t>· 15 like Science (s)</t>
  </si>
  <si>
    <t>. 5 like both subjects</t>
  </si>
  <si>
    <t>What is the probability that a student chosen at random likes Mathematics or Science?</t>
  </si>
  <si>
    <t>Question 3: A bag has 3 red and 2 blue balls. If one ball is drawn randomly and is red, what is the probability</t>
  </si>
  <si>
    <t>Question 4: The population of a school is divided into 60% boys and 40% girls. If you want equal representation</t>
  </si>
  <si>
    <t>of both genders in the sample, which method should you use: Simple Random Sampling or Stratified Sampling?</t>
  </si>
  <si>
    <t>Why?</t>
  </si>
  <si>
    <t>Boys</t>
  </si>
  <si>
    <t>Girls</t>
  </si>
  <si>
    <r>
      <rPr>
        <b/>
        <i/>
        <sz val="11"/>
        <color theme="1"/>
        <rFont val="Aptos Narrow"/>
        <family val="2"/>
        <scheme val="minor"/>
      </rPr>
      <t>Answer-</t>
    </r>
    <r>
      <rPr>
        <i/>
        <sz val="11"/>
        <color theme="1"/>
        <rFont val="Aptos Narrow"/>
        <family val="2"/>
        <scheme val="minor"/>
      </rPr>
      <t xml:space="preserve"> Stratified Sampling</t>
    </r>
  </si>
  <si>
    <t>Reasons:</t>
  </si>
  <si>
    <t>The population is not evenly distributed (60% boys, 40% girls).</t>
  </si>
  <si>
    <t>If you use Simple Random Sampling, the sample will likely reflect this imbalance, so boys may be overrepresented.</t>
  </si>
  <si>
    <t>Stratified Sampling is the best method because it guarantees equal representation of boys and girls.</t>
  </si>
  <si>
    <t>Question 5: The average height of 1000 students = 160 cm. A sample of 100 students shows an average height = 158 cm. Find the sampling error.</t>
  </si>
  <si>
    <t>Sampling error is the difference between the sample mean and the population (true) mean.</t>
  </si>
  <si>
    <t>Population Mean</t>
  </si>
  <si>
    <t>Sample Mean</t>
  </si>
  <si>
    <t>Sampling Error= Sample Mean- Population Mean</t>
  </si>
  <si>
    <t>160 cm</t>
  </si>
  <si>
    <t>158 cm</t>
  </si>
  <si>
    <t>Question 6: The population mean salary is ₹50,000 with σ = ₹5,000. If we take a sample of 100 employees, what is the standard error of the mean (SEM)?</t>
  </si>
  <si>
    <r>
      <t xml:space="preserve">Sigma= Standard deviation of Population   </t>
    </r>
    <r>
      <rPr>
        <b/>
        <sz val="11"/>
        <color theme="1"/>
        <rFont val="Aptos Narrow"/>
        <family val="2"/>
        <scheme val="minor"/>
      </rPr>
      <t xml:space="preserve"> (σ = ₹5,000)</t>
    </r>
  </si>
  <si>
    <t>SE= Sigma/ SQRTof N</t>
  </si>
  <si>
    <t>SE= 5000/10</t>
  </si>
  <si>
    <t>Answer = 500</t>
  </si>
  <si>
    <r>
      <t xml:space="preserve">N= Sample Size = </t>
    </r>
    <r>
      <rPr>
        <b/>
        <sz val="11"/>
        <color theme="1"/>
        <rFont val="Aptos Narrow"/>
        <family val="2"/>
        <scheme val="minor"/>
      </rPr>
      <t>100</t>
    </r>
  </si>
  <si>
    <r>
      <t xml:space="preserve">SQRT of N= </t>
    </r>
    <r>
      <rPr>
        <b/>
        <sz val="11"/>
        <color theme="1"/>
        <rFont val="Aptos Narrow"/>
        <family val="2"/>
        <scheme val="minor"/>
      </rPr>
      <t>10</t>
    </r>
  </si>
  <si>
    <r>
      <t xml:space="preserve">Standard Error(SE)= </t>
    </r>
    <r>
      <rPr>
        <b/>
        <sz val="11"/>
        <color theme="1"/>
        <rFont val="Aptos Narrow"/>
        <family val="2"/>
        <scheme val="minor"/>
      </rPr>
      <t>Sigma/SQRT(N)</t>
    </r>
  </si>
  <si>
    <t>Question 7: In a group of 100 students:</t>
  </si>
  <si>
    <t>· 40 like Cricket (c)</t>
  </si>
  <si>
    <t>· 30 like Football (F)</t>
  </si>
  <si>
    <t>. 10 like both Cricket and Football</t>
  </si>
  <si>
    <t>Find the probability that a student likes at least one sport.</t>
  </si>
  <si>
    <t>Question 8: From a deck of 52 cards, two cards are drawn without replacement. What is the probability that both are Aces?</t>
  </si>
  <si>
    <t>Question 10: Differentiate between discrete and continuous random variables with examples.</t>
  </si>
  <si>
    <t>Difference between Discrete and Continuous Random Variables</t>
  </si>
  <si>
    <t>Basis</t>
  </si>
  <si>
    <t>Discrete Random Variable</t>
  </si>
  <si>
    <t>Continuous Random Variable</t>
  </si>
  <si>
    <t>Definition</t>
  </si>
  <si>
    <t>Possible values</t>
  </si>
  <si>
    <t>Finite or countably infinite (0, 1, 2, …)</t>
  </si>
  <si>
    <t>Any value in an interval (e.g., 1.2, 1.25, 1.257…)</t>
  </si>
  <si>
    <t>Probability distribution</t>
  </si>
  <si>
    <t>Examples</t>
  </si>
  <si>
    <t>Number of students in a class, number of heads in 5 coin tosses</t>
  </si>
  <si>
    <t>Height of a person, time taken to complete a task</t>
  </si>
  <si>
    <t>Discrete random variable:</t>
  </si>
  <si>
    <t>Number of goals scored in a match (0, 1, 2, 3, …)</t>
  </si>
  <si>
    <t>Continuous random variable:</t>
  </si>
  <si>
    <t>Weight of a student (can take any value within a range)</t>
  </si>
  <si>
    <t>In short:</t>
  </si>
  <si>
    <r>
      <t xml:space="preserve">Discrete variables are </t>
    </r>
    <r>
      <rPr>
        <b/>
        <sz val="10"/>
        <color theme="1"/>
        <rFont val="Calibri"/>
        <family val="2"/>
      </rPr>
      <t>counted</t>
    </r>
    <r>
      <rPr>
        <sz val="10"/>
        <color theme="1"/>
        <rFont val="Calibri"/>
        <family val="2"/>
      </rPr>
      <t xml:space="preserve">, while continuous variables are </t>
    </r>
    <r>
      <rPr>
        <b/>
        <sz val="10"/>
        <color theme="1"/>
        <rFont val="Calibri"/>
        <family val="2"/>
      </rPr>
      <t>measured</t>
    </r>
    <r>
      <rPr>
        <sz val="10"/>
        <color theme="1"/>
        <rFont val="Calibri"/>
        <family val="2"/>
      </rPr>
      <t>.</t>
    </r>
  </si>
  <si>
    <t>Takes countable values</t>
  </si>
  <si>
    <t>Takes uncountable values within a range</t>
  </si>
  <si>
    <t>Described by a probability mass function (PMF)</t>
  </si>
  <si>
    <t>Described by a probability density function (PDF)</t>
  </si>
  <si>
    <t>Question 9: A factory produces bulbs with 2% defective rate. If 5 bulbs are chosen at random, what is the probability that all are non-defective?</t>
  </si>
  <si>
    <t>Defective Rate= 0.02</t>
  </si>
  <si>
    <t>N=5</t>
  </si>
  <si>
    <t>Probability of Defect= 0.02</t>
  </si>
  <si>
    <t xml:space="preserve">Total students </t>
  </si>
  <si>
    <t xml:space="preserve">Mathematics (M) </t>
  </si>
  <si>
    <t xml:space="preserve"> Science (S) </t>
  </si>
  <si>
    <t>Like both (M ∩ S)</t>
  </si>
  <si>
    <t xml:space="preserve">Maths or science </t>
  </si>
  <si>
    <t>Probability</t>
  </si>
  <si>
    <t xml:space="preserve">                     that the next ball is also red (without replacement)?</t>
  </si>
  <si>
    <t>Red balls</t>
  </si>
  <si>
    <t>Blue balls</t>
  </si>
  <si>
    <t>one ball is drawn randomly and is red</t>
  </si>
  <si>
    <t>Total Outcomes</t>
  </si>
  <si>
    <t>prob</t>
  </si>
  <si>
    <t xml:space="preserve">The next ball is also red </t>
  </si>
  <si>
    <t>Stratified Sampling lets you divide the population into strata (boys and girls) and then select equal proportions from each group, ensuring equal representation of both genders in the sample.</t>
  </si>
  <si>
    <t>Sampling Error= |160-158|</t>
  </si>
  <si>
    <t>Answer:    2</t>
  </si>
  <si>
    <r>
      <t xml:space="preserve">The sampling error is </t>
    </r>
    <r>
      <rPr>
        <b/>
        <sz val="11"/>
        <color theme="1"/>
        <rFont val="Aptos Narrow"/>
        <family val="2"/>
        <scheme val="minor"/>
      </rPr>
      <t>2 cm</t>
    </r>
    <r>
      <rPr>
        <sz val="11"/>
        <color theme="1"/>
        <rFont val="Aptos Narrow"/>
        <family val="2"/>
        <scheme val="minor"/>
      </rPr>
      <t xml:space="preserve"> (the sample underestimates the average height by 2 cm).</t>
    </r>
  </si>
  <si>
    <t>Total students = 100</t>
  </si>
  <si>
    <t>Like Cricket (C) = 40</t>
  </si>
  <si>
    <t>Like Football (F) = 30</t>
  </si>
  <si>
    <t>Like both Cricket and Football (C ∩ F) = 10</t>
  </si>
  <si>
    <t>ANSWER</t>
  </si>
  <si>
    <t xml:space="preserve">Deck </t>
  </si>
  <si>
    <t>52 cards</t>
  </si>
  <si>
    <t>One card drawn out and is Ace</t>
  </si>
  <si>
    <t>Total  outcomes</t>
  </si>
  <si>
    <t>Favourable outcomes</t>
  </si>
  <si>
    <t>Prob</t>
  </si>
  <si>
    <t>Second card drawn out and is Ace</t>
  </si>
  <si>
    <t>probability that both are Aces</t>
  </si>
  <si>
    <t xml:space="preserve"> prob</t>
  </si>
  <si>
    <r>
      <t>Non Defective= 1-0.02=</t>
    </r>
    <r>
      <rPr>
        <b/>
        <sz val="11"/>
        <color theme="1"/>
        <rFont val="Aptos Narrow"/>
        <family val="2"/>
        <scheme val="minor"/>
      </rPr>
      <t xml:space="preserve"> 0.98</t>
    </r>
  </si>
  <si>
    <t>K= 0</t>
  </si>
  <si>
    <r>
      <t xml:space="preserve">USING </t>
    </r>
    <r>
      <rPr>
        <b/>
        <sz val="11"/>
        <color theme="1"/>
        <rFont val="Aptos Narrow"/>
        <scheme val="minor"/>
      </rPr>
      <t>BINOM.DIST</t>
    </r>
  </si>
  <si>
    <r>
      <t xml:space="preserve">USING </t>
    </r>
    <r>
      <rPr>
        <b/>
        <sz val="11"/>
        <color theme="1"/>
        <rFont val="Aptos Narrow"/>
        <scheme val="minor"/>
      </rPr>
      <t>BASIC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</si>
</sst>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2" fontId="0" fillId="0" borderId="1" xfId="0" applyNumberFormat="1" applyBorder="1"/>
    <xf numFmtId="0" fontId="2" fillId="0" borderId="1" xfId="0" applyFont="1" applyBorder="1"/>
    <xf numFmtId="9" fontId="0" fillId="0" borderId="1" xfId="0" applyNumberFormat="1" applyBorder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/>
    <xf numFmtId="0" fontId="6" fillId="0" borderId="0" xfId="0" applyFont="1"/>
    <xf numFmtId="0" fontId="7" fillId="0" borderId="0" xfId="0" applyFont="1"/>
    <xf numFmtId="10" fontId="6" fillId="0" borderId="0" xfId="0" applyNumberFormat="1" applyFont="1"/>
    <xf numFmtId="0" fontId="2" fillId="2" borderId="0" xfId="0" applyFont="1" applyFill="1" applyAlignme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9869-7BCA-4307-A880-A0A7A7A45358}">
  <dimension ref="A1:E5"/>
  <sheetViews>
    <sheetView tabSelected="1" workbookViewId="0">
      <selection activeCell="A11" sqref="A11"/>
    </sheetView>
  </sheetViews>
  <sheetFormatPr defaultRowHeight="14"/>
  <cols>
    <col min="1" max="1" width="50.6640625" bestFit="1" customWidth="1"/>
    <col min="2" max="2" width="10.75" customWidth="1"/>
    <col min="3" max="3" width="13.25" customWidth="1"/>
    <col min="5" max="5" width="12.33203125" bestFit="1" customWidth="1"/>
  </cols>
  <sheetData>
    <row r="1" spans="1:5">
      <c r="A1" s="3" t="s">
        <v>13</v>
      </c>
      <c r="C1" s="6" t="s">
        <v>1</v>
      </c>
      <c r="D1" s="1" t="s">
        <v>9</v>
      </c>
    </row>
    <row r="2" spans="1:5">
      <c r="D2" s="4" t="s">
        <v>2</v>
      </c>
      <c r="E2" s="5" t="s">
        <v>3</v>
      </c>
    </row>
    <row r="3" spans="1:5">
      <c r="A3" s="7" t="s">
        <v>11</v>
      </c>
      <c r="B3" s="7" t="s">
        <v>10</v>
      </c>
      <c r="D3" s="4" t="s">
        <v>5</v>
      </c>
      <c r="E3" s="5" t="s">
        <v>4</v>
      </c>
    </row>
    <row r="4" spans="1:5">
      <c r="A4" s="5" t="s">
        <v>0</v>
      </c>
      <c r="B4" s="4">
        <f>3/6</f>
        <v>0.5</v>
      </c>
      <c r="D4" s="4" t="s">
        <v>7</v>
      </c>
      <c r="E4" s="5" t="s">
        <v>6</v>
      </c>
    </row>
    <row r="5" spans="1:5">
      <c r="A5" s="5" t="s">
        <v>8</v>
      </c>
      <c r="B5" s="8">
        <f>2/6</f>
        <v>0.33333333333333331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9F70-BF1B-4B91-9D25-484B495341BC}">
  <dimension ref="A1:C18"/>
  <sheetViews>
    <sheetView workbookViewId="0">
      <selection activeCell="A11" sqref="A11"/>
    </sheetView>
  </sheetViews>
  <sheetFormatPr defaultRowHeight="14"/>
  <cols>
    <col min="1" max="1" width="31.25" customWidth="1"/>
  </cols>
  <sheetData>
    <row r="1" spans="1:2">
      <c r="A1" s="3" t="s">
        <v>12</v>
      </c>
      <c r="B1" s="3"/>
    </row>
    <row r="3" spans="1:2">
      <c r="A3" s="1" t="s">
        <v>14</v>
      </c>
    </row>
    <row r="4" spans="1:2">
      <c r="A4" s="1" t="s">
        <v>15</v>
      </c>
    </row>
    <row r="5" spans="1:2">
      <c r="A5" s="1" t="s">
        <v>16</v>
      </c>
    </row>
    <row r="7" spans="1:2">
      <c r="A7" s="2" t="s">
        <v>17</v>
      </c>
    </row>
    <row r="11" spans="1:2">
      <c r="A11" s="21" t="s">
        <v>77</v>
      </c>
      <c r="B11" s="21">
        <v>50</v>
      </c>
    </row>
    <row r="12" spans="1:2">
      <c r="A12" s="21" t="s">
        <v>78</v>
      </c>
      <c r="B12" s="21">
        <v>20</v>
      </c>
    </row>
    <row r="13" spans="1:2">
      <c r="A13" s="21" t="s">
        <v>79</v>
      </c>
      <c r="B13" s="21">
        <v>15</v>
      </c>
    </row>
    <row r="14" spans="1:2">
      <c r="A14" s="21" t="s">
        <v>80</v>
      </c>
      <c r="B14" s="21">
        <v>5</v>
      </c>
    </row>
    <row r="16" spans="1:2">
      <c r="A16" s="21" t="s">
        <v>81</v>
      </c>
      <c r="B16" s="21"/>
    </row>
    <row r="17" spans="1:3">
      <c r="B17" s="21">
        <f>B12+B13-B14</f>
        <v>30</v>
      </c>
    </row>
    <row r="18" spans="1:3">
      <c r="A18" s="22" t="s">
        <v>82</v>
      </c>
      <c r="B18" s="21">
        <f>B17/B11</f>
        <v>0.6</v>
      </c>
      <c r="C18" s="23">
        <v>6.0000000000000001E-3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6D5E-1A9C-44F1-9DF1-93EBAE749674}">
  <dimension ref="A1:I14"/>
  <sheetViews>
    <sheetView workbookViewId="0">
      <selection activeCell="A9" sqref="A9"/>
    </sheetView>
  </sheetViews>
  <sheetFormatPr defaultRowHeight="14"/>
  <cols>
    <col min="1" max="1" width="27.1640625" customWidth="1"/>
    <col min="2" max="2" width="14.33203125" customWidth="1"/>
    <col min="3" max="3" width="6.75" customWidth="1"/>
  </cols>
  <sheetData>
    <row r="1" spans="1:9">
      <c r="A1" s="24" t="s">
        <v>18</v>
      </c>
      <c r="B1" s="24"/>
      <c r="C1" s="24"/>
      <c r="D1" s="24"/>
      <c r="E1" s="24"/>
      <c r="F1" s="24"/>
      <c r="G1" s="24"/>
      <c r="H1" s="24"/>
      <c r="I1" s="24"/>
    </row>
    <row r="2" spans="1:9">
      <c r="A2" s="24" t="s">
        <v>83</v>
      </c>
      <c r="B2" s="24"/>
      <c r="C2" s="24"/>
      <c r="D2" s="24"/>
      <c r="E2" s="24"/>
      <c r="F2" s="24"/>
      <c r="G2" s="24"/>
      <c r="H2" s="24"/>
      <c r="I2" s="24"/>
    </row>
    <row r="5" spans="1:9">
      <c r="B5" t="s">
        <v>84</v>
      </c>
      <c r="C5">
        <v>3</v>
      </c>
    </row>
    <row r="6" spans="1:9">
      <c r="B6" t="s">
        <v>85</v>
      </c>
      <c r="C6">
        <v>2</v>
      </c>
    </row>
    <row r="7" spans="1:9">
      <c r="A7" s="1" t="s">
        <v>86</v>
      </c>
      <c r="B7" s="1"/>
      <c r="C7" s="1"/>
    </row>
    <row r="8" spans="1:9">
      <c r="B8" t="s">
        <v>87</v>
      </c>
      <c r="C8">
        <v>5</v>
      </c>
    </row>
    <row r="9" spans="1:9">
      <c r="B9" s="1" t="s">
        <v>88</v>
      </c>
      <c r="C9" s="1">
        <f>C5/C8</f>
        <v>0.6</v>
      </c>
    </row>
    <row r="11" spans="1:9">
      <c r="A11" s="1" t="s">
        <v>89</v>
      </c>
      <c r="B11" s="1"/>
    </row>
    <row r="12" spans="1:9">
      <c r="B12" t="s">
        <v>87</v>
      </c>
      <c r="C12">
        <f>C8-1</f>
        <v>4</v>
      </c>
    </row>
    <row r="13" spans="1:9">
      <c r="B13" t="s">
        <v>84</v>
      </c>
      <c r="C13">
        <f>C5-1</f>
        <v>2</v>
      </c>
    </row>
    <row r="14" spans="1:9">
      <c r="B14" s="1" t="s">
        <v>88</v>
      </c>
      <c r="C14" s="1">
        <f>C13/C12</f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B588-10FE-4B15-8369-AE0FD40A6D82}">
  <dimension ref="A1:B18"/>
  <sheetViews>
    <sheetView workbookViewId="0">
      <selection activeCell="A16" sqref="A16"/>
    </sheetView>
  </sheetViews>
  <sheetFormatPr defaultRowHeight="14"/>
  <cols>
    <col min="1" max="1" width="154.5" bestFit="1" customWidth="1"/>
  </cols>
  <sheetData>
    <row r="1" spans="1:2">
      <c r="A1" s="3" t="s">
        <v>19</v>
      </c>
    </row>
    <row r="2" spans="1:2">
      <c r="A2" s="3" t="s">
        <v>20</v>
      </c>
    </row>
    <row r="3" spans="1:2">
      <c r="A3" s="3" t="s">
        <v>21</v>
      </c>
    </row>
    <row r="5" spans="1:2">
      <c r="A5" s="9" t="s">
        <v>22</v>
      </c>
      <c r="B5" s="10">
        <v>0.6</v>
      </c>
    </row>
    <row r="6" spans="1:2">
      <c r="A6" s="9" t="s">
        <v>23</v>
      </c>
      <c r="B6" s="10">
        <v>0.4</v>
      </c>
    </row>
    <row r="8" spans="1:2" ht="14.5">
      <c r="A8" s="11" t="s">
        <v>24</v>
      </c>
    </row>
    <row r="10" spans="1:2">
      <c r="A10" s="2" t="s">
        <v>25</v>
      </c>
    </row>
    <row r="13" spans="1:2">
      <c r="A13" s="4" t="s">
        <v>26</v>
      </c>
    </row>
    <row r="14" spans="1:2">
      <c r="A14" s="4" t="s">
        <v>27</v>
      </c>
    </row>
    <row r="15" spans="1:2">
      <c r="A15" s="4" t="s">
        <v>90</v>
      </c>
    </row>
    <row r="18" spans="1:1">
      <c r="A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5C52-6809-4690-920A-FA7AE46E272F}">
  <dimension ref="A1:B12"/>
  <sheetViews>
    <sheetView workbookViewId="0">
      <selection activeCell="A13" sqref="A13"/>
    </sheetView>
  </sheetViews>
  <sheetFormatPr defaultRowHeight="14"/>
  <cols>
    <col min="1" max="1" width="116.25" customWidth="1"/>
  </cols>
  <sheetData>
    <row r="1" spans="1:2">
      <c r="A1" s="3" t="s">
        <v>29</v>
      </c>
    </row>
    <row r="3" spans="1:2">
      <c r="A3" t="s">
        <v>30</v>
      </c>
    </row>
    <row r="5" spans="1:2">
      <c r="A5" s="4" t="s">
        <v>31</v>
      </c>
      <c r="B5" s="4" t="s">
        <v>34</v>
      </c>
    </row>
    <row r="6" spans="1:2">
      <c r="A6" s="4" t="s">
        <v>32</v>
      </c>
      <c r="B6" s="4" t="s">
        <v>35</v>
      </c>
    </row>
    <row r="8" spans="1:2">
      <c r="A8" t="s">
        <v>33</v>
      </c>
    </row>
    <row r="9" spans="1:2">
      <c r="A9" t="s">
        <v>91</v>
      </c>
    </row>
    <row r="10" spans="1:2">
      <c r="A10" s="1" t="s">
        <v>92</v>
      </c>
    </row>
    <row r="12" spans="1:2">
      <c r="A12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EDF4-4371-4F25-9028-E8869B765CC5}">
  <dimension ref="A1:A12"/>
  <sheetViews>
    <sheetView workbookViewId="0">
      <selection activeCell="A8" sqref="A8"/>
    </sheetView>
  </sheetViews>
  <sheetFormatPr defaultRowHeight="14"/>
  <cols>
    <col min="1" max="1" width="132.4140625" customWidth="1"/>
  </cols>
  <sheetData>
    <row r="1" spans="1:1">
      <c r="A1" s="3" t="s">
        <v>36</v>
      </c>
    </row>
    <row r="4" spans="1:1">
      <c r="A4" t="s">
        <v>43</v>
      </c>
    </row>
    <row r="6" spans="1:1">
      <c r="A6" t="s">
        <v>37</v>
      </c>
    </row>
    <row r="7" spans="1:1">
      <c r="A7" t="s">
        <v>41</v>
      </c>
    </row>
    <row r="8" spans="1:1">
      <c r="A8" t="s">
        <v>42</v>
      </c>
    </row>
    <row r="10" spans="1:1">
      <c r="A10" t="s">
        <v>38</v>
      </c>
    </row>
    <row r="11" spans="1:1">
      <c r="A11" t="s">
        <v>39</v>
      </c>
    </row>
    <row r="12" spans="1:1">
      <c r="A12" s="12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3600-95EC-4B9B-A26E-DC0E0358EE9A}">
  <dimension ref="A1:C13"/>
  <sheetViews>
    <sheetView workbookViewId="0">
      <selection activeCell="B13" sqref="B13"/>
    </sheetView>
  </sheetViews>
  <sheetFormatPr defaultRowHeight="14"/>
  <cols>
    <col min="1" max="1" width="47.33203125" bestFit="1" customWidth="1"/>
  </cols>
  <sheetData>
    <row r="1" spans="1:3">
      <c r="A1" s="3" t="s">
        <v>44</v>
      </c>
    </row>
    <row r="2" spans="1:3" ht="14.5">
      <c r="A2" s="11" t="s">
        <v>45</v>
      </c>
    </row>
    <row r="3" spans="1:3" ht="14.5">
      <c r="A3" s="11" t="s">
        <v>46</v>
      </c>
    </row>
    <row r="4" spans="1:3" ht="14.5">
      <c r="A4" s="11" t="s">
        <v>47</v>
      </c>
    </row>
    <row r="5" spans="1:3">
      <c r="A5" s="2" t="s">
        <v>48</v>
      </c>
    </row>
    <row r="8" spans="1:3">
      <c r="A8" s="21" t="s">
        <v>94</v>
      </c>
    </row>
    <row r="9" spans="1:3">
      <c r="A9" s="21" t="s">
        <v>95</v>
      </c>
    </row>
    <row r="10" spans="1:3">
      <c r="A10" s="21" t="s">
        <v>96</v>
      </c>
    </row>
    <row r="11" spans="1:3">
      <c r="A11" s="21" t="s">
        <v>97</v>
      </c>
    </row>
    <row r="13" spans="1:3">
      <c r="A13" s="21" t="s">
        <v>98</v>
      </c>
      <c r="B13" s="21">
        <f>60/100</f>
        <v>0.6</v>
      </c>
      <c r="C13" s="23">
        <v>0.6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A77C-C1F1-4B03-B7B3-1B933E6A5407}">
  <dimension ref="A1:H15"/>
  <sheetViews>
    <sheetView workbookViewId="0">
      <selection activeCell="A5" sqref="A5"/>
    </sheetView>
  </sheetViews>
  <sheetFormatPr defaultRowHeight="14"/>
  <cols>
    <col min="1" max="1" width="28.75" customWidth="1"/>
    <col min="2" max="2" width="26" customWidth="1"/>
  </cols>
  <sheetData>
    <row r="1" spans="1:8">
      <c r="A1" s="3" t="s">
        <v>49</v>
      </c>
      <c r="B1" s="3"/>
      <c r="C1" s="3"/>
      <c r="D1" s="3"/>
      <c r="E1" s="3"/>
      <c r="F1" s="3"/>
      <c r="G1" s="3"/>
      <c r="H1" s="3"/>
    </row>
    <row r="4" spans="1:8">
      <c r="B4" t="s">
        <v>99</v>
      </c>
      <c r="C4" t="s">
        <v>100</v>
      </c>
    </row>
    <row r="5" spans="1:8">
      <c r="A5" t="s">
        <v>101</v>
      </c>
    </row>
    <row r="6" spans="1:8">
      <c r="B6" t="s">
        <v>102</v>
      </c>
      <c r="C6">
        <v>52</v>
      </c>
    </row>
    <row r="7" spans="1:8">
      <c r="B7" t="s">
        <v>103</v>
      </c>
      <c r="C7">
        <v>4</v>
      </c>
    </row>
    <row r="8" spans="1:8">
      <c r="B8" t="s">
        <v>104</v>
      </c>
      <c r="C8">
        <f>C7/C6</f>
        <v>7.6923076923076927E-2</v>
      </c>
    </row>
    <row r="10" spans="1:8">
      <c r="A10" t="s">
        <v>105</v>
      </c>
    </row>
    <row r="11" spans="1:8">
      <c r="B11" t="s">
        <v>102</v>
      </c>
      <c r="C11">
        <f>C6-1</f>
        <v>51</v>
      </c>
    </row>
    <row r="12" spans="1:8">
      <c r="B12" t="s">
        <v>103</v>
      </c>
      <c r="C12">
        <f>C7-1</f>
        <v>3</v>
      </c>
    </row>
    <row r="13" spans="1:8">
      <c r="B13" t="s">
        <v>104</v>
      </c>
      <c r="C13">
        <f>C12/C11</f>
        <v>5.8823529411764705E-2</v>
      </c>
    </row>
    <row r="14" spans="1:8">
      <c r="A14" s="1" t="s">
        <v>106</v>
      </c>
      <c r="B14" s="1"/>
      <c r="C14" s="1"/>
    </row>
    <row r="15" spans="1:8">
      <c r="A15" s="1"/>
      <c r="B15" s="1" t="s">
        <v>107</v>
      </c>
      <c r="C15" s="1">
        <f>C8*C13</f>
        <v>4.5248868778280547E-3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1C3DA-137D-49C0-B222-83FE64504145}">
  <dimension ref="A1:A13"/>
  <sheetViews>
    <sheetView workbookViewId="0">
      <selection activeCell="A13" sqref="A13"/>
    </sheetView>
  </sheetViews>
  <sheetFormatPr defaultRowHeight="14"/>
  <cols>
    <col min="1" max="1" width="124.25" customWidth="1"/>
  </cols>
  <sheetData>
    <row r="1" spans="1:1">
      <c r="A1" s="3" t="s">
        <v>73</v>
      </c>
    </row>
    <row r="4" spans="1:1">
      <c r="A4" t="s">
        <v>74</v>
      </c>
    </row>
    <row r="5" spans="1:1">
      <c r="A5" t="s">
        <v>108</v>
      </c>
    </row>
    <row r="7" spans="1:1">
      <c r="A7" t="s">
        <v>109</v>
      </c>
    </row>
    <row r="8" spans="1:1">
      <c r="A8" t="s">
        <v>75</v>
      </c>
    </row>
    <row r="9" spans="1:1">
      <c r="A9" t="s">
        <v>76</v>
      </c>
    </row>
    <row r="10" spans="1:1">
      <c r="A10" t="s">
        <v>110</v>
      </c>
    </row>
    <row r="11" spans="1:1">
      <c r="A11" s="1">
        <f>_xlfn.BINOM.DIST(0,5,0.02,)</f>
        <v>0.90392079680000004</v>
      </c>
    </row>
    <row r="12" spans="1:1">
      <c r="A12" t="s">
        <v>111</v>
      </c>
    </row>
    <row r="13" spans="1:1">
      <c r="A13" s="25">
        <f>0.98*0.98*0.98*0.98*0.98</f>
        <v>0.90392079679999982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AC55-0DB6-4CB3-86A6-20CE7AA1CA9D}">
  <dimension ref="A1:C21"/>
  <sheetViews>
    <sheetView topLeftCell="A7" workbookViewId="0">
      <selection activeCell="A9" sqref="A9"/>
    </sheetView>
  </sheetViews>
  <sheetFormatPr defaultRowHeight="14"/>
  <cols>
    <col min="1" max="1" width="78.4140625" bestFit="1" customWidth="1"/>
    <col min="2" max="2" width="19" customWidth="1"/>
    <col min="3" max="3" width="32.33203125" customWidth="1"/>
  </cols>
  <sheetData>
    <row r="1" spans="1:3">
      <c r="A1" s="3" t="s">
        <v>50</v>
      </c>
    </row>
    <row r="4" spans="1:3">
      <c r="A4" s="13" t="s">
        <v>51</v>
      </c>
      <c r="B4" s="14"/>
      <c r="C4" s="14"/>
    </row>
    <row r="5" spans="1:3">
      <c r="A5" s="14"/>
      <c r="B5" s="14"/>
      <c r="C5" s="14"/>
    </row>
    <row r="6" spans="1:3" ht="26">
      <c r="A6" s="15" t="s">
        <v>52</v>
      </c>
      <c r="B6" s="15" t="s">
        <v>53</v>
      </c>
      <c r="C6" s="15" t="s">
        <v>54</v>
      </c>
    </row>
    <row r="7" spans="1:3">
      <c r="A7" s="16" t="s">
        <v>55</v>
      </c>
      <c r="B7" s="17" t="s">
        <v>69</v>
      </c>
      <c r="C7" s="17" t="s">
        <v>70</v>
      </c>
    </row>
    <row r="8" spans="1:3" ht="26">
      <c r="A8" s="16" t="s">
        <v>56</v>
      </c>
      <c r="B8" s="17" t="s">
        <v>57</v>
      </c>
      <c r="C8" s="17" t="s">
        <v>58</v>
      </c>
    </row>
    <row r="9" spans="1:3" ht="39">
      <c r="A9" s="16" t="s">
        <v>59</v>
      </c>
      <c r="B9" s="17" t="s">
        <v>71</v>
      </c>
      <c r="C9" s="17" t="s">
        <v>72</v>
      </c>
    </row>
    <row r="10" spans="1:3" ht="39">
      <c r="A10" s="16" t="s">
        <v>60</v>
      </c>
      <c r="B10" s="17" t="s">
        <v>61</v>
      </c>
      <c r="C10" s="17" t="s">
        <v>62</v>
      </c>
    </row>
    <row r="11" spans="1:3">
      <c r="A11" s="14"/>
      <c r="B11" s="14"/>
      <c r="C11" s="14"/>
    </row>
    <row r="12" spans="1:3">
      <c r="A12" s="13" t="s">
        <v>60</v>
      </c>
      <c r="B12" s="14"/>
      <c r="C12" s="14"/>
    </row>
    <row r="13" spans="1:3">
      <c r="A13" s="18"/>
      <c r="B13" s="14"/>
      <c r="C13" s="14"/>
    </row>
    <row r="14" spans="1:3">
      <c r="A14" s="19" t="s">
        <v>63</v>
      </c>
      <c r="B14" s="14"/>
      <c r="C14" s="14"/>
    </row>
    <row r="15" spans="1:3">
      <c r="A15" s="18" t="s">
        <v>64</v>
      </c>
      <c r="B15" s="14"/>
      <c r="C15" s="14"/>
    </row>
    <row r="16" spans="1:3">
      <c r="A16" s="18"/>
      <c r="B16" s="14"/>
      <c r="C16" s="14"/>
    </row>
    <row r="17" spans="1:3">
      <c r="A17" s="19" t="s">
        <v>65</v>
      </c>
      <c r="B17" s="14"/>
      <c r="C17" s="14"/>
    </row>
    <row r="18" spans="1:3">
      <c r="A18" s="18" t="s">
        <v>66</v>
      </c>
      <c r="B18" s="14"/>
      <c r="C18" s="14"/>
    </row>
    <row r="19" spans="1:3">
      <c r="A19" s="14"/>
      <c r="B19" s="14"/>
      <c r="C19" s="14"/>
    </row>
    <row r="20" spans="1:3">
      <c r="A20" s="20" t="s">
        <v>67</v>
      </c>
      <c r="B20" s="14"/>
      <c r="C20" s="14"/>
    </row>
    <row r="21" spans="1:3">
      <c r="A21" s="14" t="s">
        <v>68</v>
      </c>
      <c r="B21" s="14"/>
      <c r="C2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Answer 8</vt:lpstr>
      <vt:lpstr>Answer 9</vt:lpstr>
      <vt:lpstr>Answer 10</vt:lpstr>
    </vt:vector>
  </TitlesOfParts>
  <Company>IHG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Arora, Diksha</dc:creator>
  <cp:lastModifiedBy>dell</cp:lastModifiedBy>
  <dcterms:created xsi:type="dcterms:W3CDTF">2026-01-03T12:31:15Z</dcterms:created>
  <dcterms:modified xsi:type="dcterms:W3CDTF">2026-01-06T16:28:34Z</dcterms:modified>
</cp:coreProperties>
</file>