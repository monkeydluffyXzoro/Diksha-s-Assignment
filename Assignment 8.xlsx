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6C9B78DC-F336-4132-9DA5-4A083AF51CAE}" xr6:coauthVersionLast="47" xr6:coauthVersionMax="47" xr10:uidLastSave="{00000000-0000-0000-0000-000000000000}"/>
  <bookViews>
    <workbookView xWindow="-110" yWindow="-110" windowWidth="19420" windowHeight="10420" xr2:uid="{333020DF-A62D-4144-AEEB-78C0ADB537D0}"/>
  </bookViews>
  <sheets>
    <sheet name="Answer 1" sheetId="1" r:id="rId1"/>
    <sheet name="Answer 2" sheetId="2" r:id="rId2"/>
    <sheet name="Answer 3" sheetId="3" r:id="rId3"/>
    <sheet name="Answer  4" sheetId="4" r:id="rId4"/>
    <sheet name="Answer 5" sheetId="5" r:id="rId5"/>
    <sheet name="Answer 6" sheetId="6" r:id="rId6"/>
    <sheet name="Answer 7" sheetId="7" r:id="rId7"/>
    <sheet name="Answer 8" sheetId="8" r:id="rId8"/>
  </sheets>
  <definedNames>
    <definedName name="_xlchart.v1.0" hidden="1">'Answer 2'!$B$3:$B$102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7" l="1"/>
  <c r="A8" i="7" s="1"/>
  <c r="B14" i="3"/>
  <c r="B102"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3" i="2"/>
  <c r="A8" i="1"/>
  <c r="B6" i="1"/>
</calcChain>
</file>

<file path=xl/sharedStrings.xml><?xml version="1.0" encoding="utf-8"?>
<sst xmlns="http://schemas.openxmlformats.org/spreadsheetml/2006/main" count="69" uniqueCount="68">
  <si>
    <t>BINOM.DIST) </t>
  </si>
  <si>
    <t>Q1- Simulate 30 rolls with =RANDBETWEEN(1,6). What is the probability of rolling a 3 exactly 5 times? (Hint: Use</t>
  </si>
  <si>
    <r>
      <rPr>
        <b/>
        <sz val="11"/>
        <color theme="1"/>
        <rFont val="Aptos Narrow"/>
        <family val="2"/>
        <scheme val="minor"/>
      </rPr>
      <t>N</t>
    </r>
    <r>
      <rPr>
        <sz val="11"/>
        <color theme="1"/>
        <rFont val="Aptos Narrow"/>
        <family val="2"/>
        <scheme val="minor"/>
      </rPr>
      <t>= 30</t>
    </r>
  </si>
  <si>
    <t>K=5</t>
  </si>
  <si>
    <t>Prob</t>
  </si>
  <si>
    <t>Answer</t>
  </si>
  <si>
    <t>Q2- Generate 100 values in Excel using the continuous uniform distribution RAND() and plot a histogram. Describe the shape of the distribution.</t>
  </si>
  <si>
    <t>Shape= Flat</t>
  </si>
  <si>
    <t>Q3- A dataset has a mean of 50 and a standard deviation of 5. What percentage of values lie between 45 and 55 if the data follows a normal distribution</t>
  </si>
  <si>
    <t>Q4- What is the concept of standardization (z-score), and why is it important in data analysis? Explain the formula and how standardization transforms a dataset.</t>
  </si>
  <si>
    <r>
      <t>Standardization</t>
    </r>
    <r>
      <rPr>
        <sz val="11"/>
        <color theme="1"/>
        <rFont val="Aptos Narrow"/>
        <family val="2"/>
        <scheme val="minor"/>
      </rPr>
      <t>, also known as z-score normalization, is the process of transforming a dataset so that it has a mean of 0 and a standard deviation of 1. This allows us to compare data points from different distributions, scales, or units on a consistent basis.</t>
    </r>
  </si>
  <si>
    <t>Z= X- Mean/ SD</t>
  </si>
  <si>
    <t>The formula for calculating the z-score for a given value X is:</t>
  </si>
  <si>
    <t>A z-score of 0 means the data point is exactly at the mean.</t>
  </si>
  <si>
    <t>A z-score greater than 0 means the data point is above the mean.</t>
  </si>
  <si>
    <t>A z-score less than 0 means the data point is below the mean.</t>
  </si>
  <si>
    <t>Why Standardization is Important in Data Analysis</t>
  </si>
  <si>
    <t>1) Comparison Across Different Scales</t>
  </si>
  <si>
    <t>2) Handling Outliers</t>
  </si>
  <si>
    <t>3) Normalizing Data Distribution</t>
  </si>
  <si>
    <t>4)Facilitating Statistical Analysis</t>
  </si>
  <si>
    <t>How Standardization Transforms a Dataset</t>
  </si>
  <si>
    <r>
      <t>Centering</t>
    </r>
    <r>
      <rPr>
        <sz val="11"/>
        <color theme="1"/>
        <rFont val="Aptos Narrow"/>
        <family val="2"/>
        <scheme val="minor"/>
      </rPr>
      <t>: The transformation subtracts the mean from each data point, so the new mean becomes 0. This shifts the dataset so that it is centered around 0.</t>
    </r>
  </si>
  <si>
    <r>
      <t>Scaling</t>
    </r>
    <r>
      <rPr>
        <sz val="11"/>
        <color theme="1"/>
        <rFont val="Aptos Narrow"/>
        <family val="2"/>
        <scheme val="minor"/>
      </rPr>
      <t>: The transformation divides each data point by the standard deviation, making the spread of the data equal to 1. This compresses or expands the dataset based on the standard deviation.</t>
    </r>
  </si>
  <si>
    <t>Q5- What is Kurtosis and their type?</t>
  </si>
  <si>
    <r>
      <t>Kurtosis</t>
    </r>
    <r>
      <rPr>
        <sz val="11"/>
        <color theme="1"/>
        <rFont val="Aptos Narrow"/>
        <family val="2"/>
        <scheme val="minor"/>
      </rPr>
      <t xml:space="preserve"> is a statistical measure that describes the shape of the distribution of data, particularly the tails of the distribution. It tells you about the outliers in the data and the peakedness or flatness of the distribution compared to a normal distribution.</t>
    </r>
  </si>
  <si>
    <r>
      <t xml:space="preserve">In simple terms, </t>
    </r>
    <r>
      <rPr>
        <sz val="11"/>
        <color theme="1"/>
        <rFont val="Aptos Narrow"/>
        <family val="2"/>
        <scheme val="minor"/>
      </rPr>
      <t>kurtosis indicates how much data is in the tails or in the peak of the distribution compared to a normal distribution.</t>
    </r>
  </si>
  <si>
    <t>Types of Kurtosis:</t>
  </si>
  <si>
    <r>
      <t>Mesokurtic</t>
    </r>
    <r>
      <rPr>
        <sz val="11"/>
        <color theme="1"/>
        <rFont val="Aptos Narrow"/>
        <family val="2"/>
        <scheme val="minor"/>
      </rPr>
      <t xml:space="preserve"> (Normal distribution kurtosis)</t>
    </r>
  </si>
  <si>
    <r>
      <t>Leptokurtic</t>
    </r>
    <r>
      <rPr>
        <sz val="11"/>
        <color theme="1"/>
        <rFont val="Aptos Narrow"/>
        <family val="2"/>
        <scheme val="minor"/>
      </rPr>
      <t xml:space="preserve"> (Leptokurtic distribution)</t>
    </r>
  </si>
  <si>
    <r>
      <t>Platykurtic</t>
    </r>
    <r>
      <rPr>
        <sz val="11"/>
        <color theme="1"/>
        <rFont val="Aptos Narrow"/>
        <family val="2"/>
        <scheme val="minor"/>
      </rPr>
      <t xml:space="preserve"> (Platykurtic distribution)</t>
    </r>
  </si>
  <si>
    <t>Q5- Explain why the uniform distribution is a good model for the outcome of rolling a fair die._x000B_</t>
  </si>
  <si>
    <r>
      <t xml:space="preserve">The </t>
    </r>
    <r>
      <rPr>
        <b/>
        <sz val="11"/>
        <color theme="1"/>
        <rFont val="Aptos Narrow"/>
        <family val="2"/>
        <scheme val="minor"/>
      </rPr>
      <t>uniform distribution</t>
    </r>
    <r>
      <rPr>
        <sz val="11"/>
        <color theme="1"/>
        <rFont val="Aptos Narrow"/>
        <family val="2"/>
        <scheme val="minor"/>
      </rPr>
      <t xml:space="preserve"> is an ideal model for the outcome of rolling a fair die because of the following reasons:</t>
    </r>
  </si>
  <si>
    <r>
      <t xml:space="preserve">1. </t>
    </r>
    <r>
      <rPr>
        <b/>
        <sz val="11"/>
        <color theme="1"/>
        <rFont val="Aptos Narrow"/>
        <family val="2"/>
        <scheme val="minor"/>
      </rPr>
      <t>Equal Probability for All Outcomes</t>
    </r>
    <r>
      <rPr>
        <sz val="11"/>
        <color theme="1"/>
        <rFont val="Aptos Narrow"/>
        <family val="2"/>
        <scheme val="minor"/>
      </rPr>
      <t>:</t>
    </r>
  </si>
  <si>
    <t>The uniform distribution assumes that all possible outcomes in a given range (or set) have the same probability. In the case of a die roll, each of the six faces has an equal probability of landing face up.</t>
  </si>
  <si>
    <r>
      <t xml:space="preserve">2. </t>
    </r>
    <r>
      <rPr>
        <b/>
        <sz val="11"/>
        <color theme="1"/>
        <rFont val="Aptos Narrow"/>
        <family val="2"/>
        <scheme val="minor"/>
      </rPr>
      <t>Discrete Nature of the Outcomes</t>
    </r>
    <r>
      <rPr>
        <sz val="11"/>
        <color theme="1"/>
        <rFont val="Aptos Narrow"/>
        <family val="2"/>
        <scheme val="minor"/>
      </rPr>
      <t>:</t>
    </r>
  </si>
  <si>
    <t>The uniform distribution can be discrete or continuous, depending on the context.</t>
  </si>
  <si>
    <t>The discrete uniform distribution models this situation well because it assigns equal probabilities to each of the discrete outcomes.</t>
  </si>
  <si>
    <r>
      <t xml:space="preserve">3. </t>
    </r>
    <r>
      <rPr>
        <b/>
        <sz val="11"/>
        <color theme="1"/>
        <rFont val="Aptos Narrow"/>
        <family val="2"/>
        <scheme val="minor"/>
      </rPr>
      <t>Randomness</t>
    </r>
    <r>
      <rPr>
        <sz val="11"/>
        <color theme="1"/>
        <rFont val="Aptos Narrow"/>
        <family val="2"/>
        <scheme val="minor"/>
      </rPr>
      <t>:</t>
    </r>
  </si>
  <si>
    <t>The uniform distribution captures this randomness by assigning the same probability to each of these outcomes.</t>
  </si>
  <si>
    <t>A fair die produces a random outcome from a fixed set of possibilities (1, 2, 3, 4, 5, or 6).</t>
  </si>
  <si>
    <r>
      <t xml:space="preserve">4. </t>
    </r>
    <r>
      <rPr>
        <b/>
        <sz val="11"/>
        <color theme="1"/>
        <rFont val="Aptos Narrow"/>
        <family val="2"/>
        <scheme val="minor"/>
      </rPr>
      <t>No Bias or Preference</t>
    </r>
    <r>
      <rPr>
        <sz val="11"/>
        <color theme="1"/>
        <rFont val="Aptos Narrow"/>
        <family val="2"/>
        <scheme val="minor"/>
      </rPr>
      <t>:</t>
    </r>
  </si>
  <si>
    <t>For a die to be considered fair, there must be no bias in its design or in the rolling process. That is, every face of the die must have an equal chance of landing face up.</t>
  </si>
  <si>
    <t>The uniform distribution perfectly models this scenario, as it assumes that all outcomes are equally likely.</t>
  </si>
  <si>
    <t>Answer 7- Use Excel to compute the probability of getting at least 8 successes in 15 trials with success probability 0.5_x000B_</t>
  </si>
  <si>
    <t>K</t>
  </si>
  <si>
    <t>N</t>
  </si>
  <si>
    <t>P</t>
  </si>
  <si>
    <t>How does log transformation help in stabilizing variance and making data more normally distributed?</t>
  </si>
  <si>
    <t>Log transformation is a widely used technique in data analysis and statistical modeling. It helps address two common issues: non-constant variance (heteroscedasticity) and non-normality of data.</t>
  </si>
  <si>
    <t>1. Stabilizing Variance (Dealing with Heteroscedasticity)</t>
  </si>
  <si>
    <t>For example, consider a dataset with values ranging from 1 to 1000. After applying a log transformation, the values might change from a wide range (e.g., 1, 10, 100, 1000) to a much smaller range (e.g., 0, 1, 2, 3), which reduces the relative variance between lower and higher values.</t>
  </si>
  <si>
    <t>2. Making Data More Normally Distributed</t>
  </si>
  <si>
    <t>The log transformation can compress the range of the data, reducing the impact of large values and stabilizing the variance. By applying a logarithm (typically base 10 or natural log) to the data, the values are transformed in a way that reduces the skew and makes the distribution more homoscedastic (constant variance across all levels of the data).</t>
  </si>
  <si>
    <r>
      <t xml:space="preserve">Many statistical methods assume that the data follows a </t>
    </r>
    <r>
      <rPr>
        <b/>
        <sz val="11"/>
        <color theme="1"/>
        <rFont val="Aptos Narrow"/>
        <family val="2"/>
        <scheme val="minor"/>
      </rPr>
      <t>normal distribution</t>
    </r>
    <r>
      <rPr>
        <sz val="11"/>
        <color theme="1"/>
        <rFont val="Aptos Narrow"/>
        <family val="2"/>
        <scheme val="minor"/>
      </rPr>
      <t xml:space="preserve"> (bell-shaped curve), or at least close to normality, as it makes calculations and statistical inference easier and more reliable. If your data is </t>
    </r>
    <r>
      <rPr>
        <b/>
        <sz val="11"/>
        <color theme="1"/>
        <rFont val="Aptos Narrow"/>
        <family val="2"/>
        <scheme val="minor"/>
      </rPr>
      <t>skewed</t>
    </r>
    <r>
      <rPr>
        <sz val="11"/>
        <color theme="1"/>
        <rFont val="Aptos Narrow"/>
        <family val="2"/>
        <scheme val="minor"/>
      </rPr>
      <t xml:space="preserve"> (i.e., not symmetrical) and </t>
    </r>
    <r>
      <rPr>
        <b/>
        <sz val="11"/>
        <color theme="1"/>
        <rFont val="Aptos Narrow"/>
        <family val="2"/>
        <scheme val="minor"/>
      </rPr>
      <t>non-normal</t>
    </r>
    <r>
      <rPr>
        <sz val="11"/>
        <color theme="1"/>
        <rFont val="Aptos Narrow"/>
        <family val="2"/>
        <scheme val="minor"/>
      </rPr>
      <t>, it can violate assumptions for many tests and models</t>
    </r>
  </si>
  <si>
    <t>Right-skewed data</t>
  </si>
  <si>
    <t>Example 1: Income Data</t>
  </si>
  <si>
    <r>
      <t xml:space="preserve">Income data is often </t>
    </r>
    <r>
      <rPr>
        <sz val="11"/>
        <color theme="1"/>
        <rFont val="Aptos Narrow"/>
        <family val="2"/>
        <scheme val="minor"/>
      </rPr>
      <t>right-skewed, with a small number of extremely high incomes and many lower-to-middle incomes. If you use raw income data in an analysis, the high-income outliers can heavily influence the results.</t>
    </r>
  </si>
  <si>
    <t>Examples where Log Transformation is helpful</t>
  </si>
  <si>
    <r>
      <rPr>
        <b/>
        <i/>
        <sz val="11"/>
        <color theme="1"/>
        <rFont val="Aptos Narrow"/>
        <family val="2"/>
        <scheme val="minor"/>
      </rPr>
      <t>Before log transformation</t>
    </r>
    <r>
      <rPr>
        <sz val="11"/>
        <color theme="1"/>
        <rFont val="Aptos Narrow"/>
        <family val="2"/>
        <scheme val="minor"/>
      </rPr>
      <t>: The data might look highly skewed, with a long right tail.</t>
    </r>
  </si>
  <si>
    <r>
      <rPr>
        <b/>
        <i/>
        <sz val="11"/>
        <color theme="1"/>
        <rFont val="Aptos Narrow"/>
        <family val="2"/>
        <scheme val="minor"/>
      </rPr>
      <t>After log transformation</t>
    </r>
    <r>
      <rPr>
        <sz val="11"/>
        <color theme="1"/>
        <rFont val="Aptos Narrow"/>
        <family val="2"/>
        <scheme val="minor"/>
      </rPr>
      <t>: The large incomes are compressed, and the distribution becomes more symmetric, helping to stabilize variance and make it more normally distributed.</t>
    </r>
  </si>
  <si>
    <t>Given:</t>
  </si>
  <si>
    <t xml:space="preserve">Mean (μ) </t>
  </si>
  <si>
    <t>Standard deviation (σ)</t>
  </si>
  <si>
    <t>Lower bound</t>
  </si>
  <si>
    <t>Upper bound</t>
  </si>
  <si>
    <t>percentage of values lie between 45 and 55 is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</si>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</sst>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0"/>
  </numFmts>
  <fonts count="7">
    <font>
      <sz val="11"/>
      <color theme="1"/>
      <name val="Aptos Narrow"/>
      <family val="2"/>
      <scheme val="minor"/>
    </font>
    <font>
      <b/>
      <sz val="11"/>
      <color theme="1"/>
      <name val="Aptos Narrow"/>
      <family val="2"/>
      <scheme val="minor"/>
    </font>
    <font>
      <b/>
      <i/>
      <sz val="11"/>
      <color theme="1"/>
      <name val="Aptos Narrow"/>
      <family val="2"/>
      <scheme val="minor"/>
    </font>
    <font>
      <sz val="11"/>
      <color theme="1"/>
      <name val="Aptos Narrow"/>
      <family val="2"/>
      <scheme val="minor"/>
    </font>
    <font>
      <b/>
      <sz val="12"/>
      <color theme="1"/>
      <name val="Aptos Narrow"/>
      <family val="2"/>
      <scheme val="minor"/>
    </font>
    <font>
      <sz val="12"/>
      <color theme="1"/>
      <name val="Calibri"/>
      <family val="2"/>
    </font>
    <font>
      <b/>
      <sz val="13.5"/>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2" fillId="2" borderId="0" xfId="0" applyFont="1" applyFill="1"/>
    <xf numFmtId="0" fontId="1" fillId="0" borderId="0" xfId="0" applyFont="1"/>
    <xf numFmtId="0" fontId="0" fillId="0" borderId="1" xfId="0" applyBorder="1" applyAlignment="1">
      <alignment horizontal="center"/>
    </xf>
    <xf numFmtId="2" fontId="0" fillId="0" borderId="1" xfId="0" applyNumberFormat="1" applyBorder="1" applyAlignment="1">
      <alignment horizontal="center"/>
    </xf>
    <xf numFmtId="0" fontId="1" fillId="2" borderId="1" xfId="0" applyFont="1" applyFill="1" applyBorder="1" applyAlignment="1">
      <alignment horizontal="center"/>
    </xf>
    <xf numFmtId="0" fontId="0" fillId="0" borderId="0" xfId="0" applyAlignment="1">
      <alignment horizontal="center"/>
    </xf>
    <xf numFmtId="0" fontId="1" fillId="0" borderId="0" xfId="0" applyFont="1" applyAlignment="1">
      <alignment horizontal="left"/>
    </xf>
    <xf numFmtId="0" fontId="0" fillId="0" borderId="0" xfId="0" applyFont="1"/>
    <xf numFmtId="0" fontId="0" fillId="0" borderId="0" xfId="0" applyAlignment="1"/>
    <xf numFmtId="0" fontId="4" fillId="0" borderId="0" xfId="0" applyFont="1" applyAlignment="1">
      <alignment vertical="center"/>
    </xf>
    <xf numFmtId="0" fontId="0" fillId="0" borderId="0" xfId="0" applyFont="1" applyAlignment="1">
      <alignment horizontal="left" vertical="center" indent="1"/>
    </xf>
    <xf numFmtId="0" fontId="5" fillId="0" borderId="0" xfId="0" applyFont="1" applyAlignment="1">
      <alignment vertical="center"/>
    </xf>
    <xf numFmtId="0" fontId="6" fillId="0" borderId="0" xfId="0" applyFont="1" applyAlignment="1">
      <alignment vertical="center"/>
    </xf>
    <xf numFmtId="0" fontId="0" fillId="0" borderId="0" xfId="0" applyAlignment="1">
      <alignment horizontal="left" vertical="center" indent="1"/>
    </xf>
    <xf numFmtId="169" fontId="0" fillId="0" borderId="0" xfId="0" applyNumberFormat="1"/>
    <xf numFmtId="10"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796F4853-6229-47D3-96DA-E938C87C8A35}">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73024</xdr:rowOff>
    </xdr:from>
    <xdr:to>
      <xdr:col>0</xdr:col>
      <xdr:colOff>4610100</xdr:colOff>
      <xdr:row>17</xdr:row>
      <xdr:rowOff>57149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69B4683-F052-E9E3-7BC4-869AA49083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428624"/>
              <a:ext cx="4610100" cy="26511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0</xdr:col>
      <xdr:colOff>4464279</xdr:colOff>
      <xdr:row>27</xdr:row>
      <xdr:rowOff>19165</xdr:rowOff>
    </xdr:to>
    <xdr:pic>
      <xdr:nvPicPr>
        <xdr:cNvPr id="2" name="Picture 1">
          <a:extLst>
            <a:ext uri="{FF2B5EF4-FFF2-40B4-BE49-F238E27FC236}">
              <a16:creationId xmlns:a16="http://schemas.microsoft.com/office/drawing/2014/main" id="{0CA79535-F543-921A-8399-711A2596116C}"/>
            </a:ext>
          </a:extLst>
        </xdr:cNvPr>
        <xdr:cNvPicPr>
          <a:picLocks noChangeAspect="1"/>
        </xdr:cNvPicPr>
      </xdr:nvPicPr>
      <xdr:blipFill>
        <a:blip xmlns:r="http://schemas.openxmlformats.org/officeDocument/2006/relationships" r:embed="rId1"/>
        <a:stretch>
          <a:fillRect/>
        </a:stretch>
      </xdr:blipFill>
      <xdr:spPr>
        <a:xfrm>
          <a:off x="0" y="2762250"/>
          <a:ext cx="4464279" cy="2228965"/>
        </a:xfrm>
        <a:prstGeom prst="rect">
          <a:avLst/>
        </a:prstGeom>
      </xdr:spPr>
    </xdr:pic>
    <xdr:clientData/>
  </xdr:twoCellAnchor>
  <xdr:twoCellAnchor editAs="oneCell">
    <xdr:from>
      <xdr:col>0</xdr:col>
      <xdr:colOff>5353050</xdr:colOff>
      <xdr:row>14</xdr:row>
      <xdr:rowOff>165100</xdr:rowOff>
    </xdr:from>
    <xdr:to>
      <xdr:col>0</xdr:col>
      <xdr:colOff>9645871</xdr:colOff>
      <xdr:row>27</xdr:row>
      <xdr:rowOff>139822</xdr:rowOff>
    </xdr:to>
    <xdr:pic>
      <xdr:nvPicPr>
        <xdr:cNvPr id="3" name="Picture 2">
          <a:extLst>
            <a:ext uri="{FF2B5EF4-FFF2-40B4-BE49-F238E27FC236}">
              <a16:creationId xmlns:a16="http://schemas.microsoft.com/office/drawing/2014/main" id="{1AAABB83-CB58-8991-61DB-FF21C5965506}"/>
            </a:ext>
          </a:extLst>
        </xdr:cNvPr>
        <xdr:cNvPicPr>
          <a:picLocks noChangeAspect="1"/>
        </xdr:cNvPicPr>
      </xdr:nvPicPr>
      <xdr:blipFill>
        <a:blip xmlns:r="http://schemas.openxmlformats.org/officeDocument/2006/relationships" r:embed="rId2"/>
        <a:stretch>
          <a:fillRect/>
        </a:stretch>
      </xdr:blipFill>
      <xdr:spPr>
        <a:xfrm>
          <a:off x="5353050" y="2743200"/>
          <a:ext cx="4292821" cy="23686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84046-85C8-4041-A67C-E468FE4FF53C}">
  <dimension ref="A1:B8"/>
  <sheetViews>
    <sheetView tabSelected="1" workbookViewId="0">
      <selection activeCell="A10" sqref="A10"/>
    </sheetView>
  </sheetViews>
  <sheetFormatPr defaultRowHeight="14"/>
  <cols>
    <col min="1" max="1" width="93.4140625" bestFit="1" customWidth="1"/>
  </cols>
  <sheetData>
    <row r="1" spans="1:2">
      <c r="A1" s="1" t="s">
        <v>1</v>
      </c>
    </row>
    <row r="2" spans="1:2">
      <c r="A2" s="1" t="s">
        <v>0</v>
      </c>
    </row>
    <row r="4" spans="1:2">
      <c r="A4" s="3" t="s">
        <v>2</v>
      </c>
      <c r="B4" s="3">
        <v>30</v>
      </c>
    </row>
    <row r="5" spans="1:2">
      <c r="A5" s="3" t="s">
        <v>3</v>
      </c>
      <c r="B5" s="3">
        <v>5</v>
      </c>
    </row>
    <row r="6" spans="1:2">
      <c r="A6" s="3" t="s">
        <v>4</v>
      </c>
      <c r="B6" s="4">
        <f>1/6</f>
        <v>0.16666666666666666</v>
      </c>
    </row>
    <row r="7" spans="1:2">
      <c r="A7" s="3"/>
      <c r="B7" s="3"/>
    </row>
    <row r="8" spans="1:2">
      <c r="A8" s="3">
        <f>_xlfn.BINOM.DIST(B5,B4,B6,)</f>
        <v>0.19210813105163416</v>
      </c>
      <c r="B8" s="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78023-B4C9-4EC8-A6EC-8192B6E599C1}">
  <dimension ref="A1:B102"/>
  <sheetViews>
    <sheetView workbookViewId="0">
      <selection activeCell="D3" sqref="D3"/>
    </sheetView>
  </sheetViews>
  <sheetFormatPr defaultRowHeight="14"/>
  <cols>
    <col min="1" max="1" width="119.25" bestFit="1" customWidth="1"/>
  </cols>
  <sheetData>
    <row r="1" spans="1:2">
      <c r="A1" s="1" t="s">
        <v>6</v>
      </c>
    </row>
    <row r="3" spans="1:2">
      <c r="A3" s="6"/>
      <c r="B3">
        <f ca="1">RAND()</f>
        <v>0.58284873191863817</v>
      </c>
    </row>
    <row r="4" spans="1:2">
      <c r="A4" s="6"/>
      <c r="B4">
        <f t="shared" ref="B4:B67" ca="1" si="0">RAND()</f>
        <v>0.52855820186714031</v>
      </c>
    </row>
    <row r="5" spans="1:2">
      <c r="A5" s="6"/>
      <c r="B5">
        <f t="shared" ca="1" si="0"/>
        <v>0.96889397604212946</v>
      </c>
    </row>
    <row r="6" spans="1:2">
      <c r="A6" s="6"/>
      <c r="B6">
        <f t="shared" ca="1" si="0"/>
        <v>0.61166892232692183</v>
      </c>
    </row>
    <row r="7" spans="1:2">
      <c r="A7" s="6"/>
      <c r="B7">
        <f t="shared" ca="1" si="0"/>
        <v>0.93022347297165475</v>
      </c>
    </row>
    <row r="8" spans="1:2">
      <c r="A8" s="6"/>
      <c r="B8">
        <f t="shared" ca="1" si="0"/>
        <v>0.9241741891102716</v>
      </c>
    </row>
    <row r="9" spans="1:2">
      <c r="A9" s="6"/>
      <c r="B9">
        <f t="shared" ca="1" si="0"/>
        <v>0.73603952277566786</v>
      </c>
    </row>
    <row r="10" spans="1:2">
      <c r="A10" s="6"/>
      <c r="B10">
        <f t="shared" ca="1" si="0"/>
        <v>3.5411664267037901E-2</v>
      </c>
    </row>
    <row r="11" spans="1:2">
      <c r="A11" s="6"/>
      <c r="B11">
        <f t="shared" ca="1" si="0"/>
        <v>0.22478873755016426</v>
      </c>
    </row>
    <row r="12" spans="1:2">
      <c r="A12" s="6"/>
      <c r="B12">
        <f t="shared" ca="1" si="0"/>
        <v>0.49067252908946302</v>
      </c>
    </row>
    <row r="13" spans="1:2">
      <c r="A13" s="6"/>
      <c r="B13">
        <f t="shared" ca="1" si="0"/>
        <v>0.21128888225515774</v>
      </c>
    </row>
    <row r="14" spans="1:2">
      <c r="A14" s="6"/>
      <c r="B14">
        <f t="shared" ca="1" si="0"/>
        <v>0.44073679874416172</v>
      </c>
    </row>
    <row r="15" spans="1:2">
      <c r="A15" s="6"/>
      <c r="B15">
        <f t="shared" ca="1" si="0"/>
        <v>0.16467879803391383</v>
      </c>
    </row>
    <row r="16" spans="1:2">
      <c r="A16" s="6"/>
      <c r="B16">
        <f t="shared" ca="1" si="0"/>
        <v>0.62359932633738935</v>
      </c>
    </row>
    <row r="17" spans="1:2">
      <c r="A17" s="6"/>
      <c r="B17">
        <f t="shared" ca="1" si="0"/>
        <v>6.2712217455177521E-2</v>
      </c>
    </row>
    <row r="18" spans="1:2">
      <c r="A18" s="6"/>
      <c r="B18">
        <f t="shared" ca="1" si="0"/>
        <v>0.80676583262796397</v>
      </c>
    </row>
    <row r="19" spans="1:2">
      <c r="A19" s="6"/>
      <c r="B19">
        <f t="shared" ca="1" si="0"/>
        <v>0.55118655642453829</v>
      </c>
    </row>
    <row r="20" spans="1:2">
      <c r="A20" s="7" t="s">
        <v>7</v>
      </c>
      <c r="B20">
        <f t="shared" ca="1" si="0"/>
        <v>0.10782196429673718</v>
      </c>
    </row>
    <row r="21" spans="1:2">
      <c r="A21" s="6"/>
      <c r="B21">
        <f t="shared" ca="1" si="0"/>
        <v>0.27308799520212546</v>
      </c>
    </row>
    <row r="22" spans="1:2">
      <c r="A22" s="6"/>
      <c r="B22">
        <f t="shared" ca="1" si="0"/>
        <v>0.23426806698849389</v>
      </c>
    </row>
    <row r="23" spans="1:2">
      <c r="A23" s="6"/>
      <c r="B23">
        <f t="shared" ca="1" si="0"/>
        <v>0.9872178785570449</v>
      </c>
    </row>
    <row r="24" spans="1:2">
      <c r="A24" s="6"/>
      <c r="B24">
        <f t="shared" ca="1" si="0"/>
        <v>0.29757055791823173</v>
      </c>
    </row>
    <row r="25" spans="1:2">
      <c r="A25" s="6"/>
      <c r="B25">
        <f t="shared" ca="1" si="0"/>
        <v>2.9246579595736621E-2</v>
      </c>
    </row>
    <row r="26" spans="1:2">
      <c r="A26" s="6"/>
      <c r="B26">
        <f t="shared" ca="1" si="0"/>
        <v>0.69493356590886413</v>
      </c>
    </row>
    <row r="27" spans="1:2">
      <c r="A27" s="6"/>
      <c r="B27">
        <f t="shared" ca="1" si="0"/>
        <v>0.62869722665677297</v>
      </c>
    </row>
    <row r="28" spans="1:2">
      <c r="A28" s="6"/>
      <c r="B28">
        <f t="shared" ca="1" si="0"/>
        <v>0.71062044592229301</v>
      </c>
    </row>
    <row r="29" spans="1:2">
      <c r="A29" s="6"/>
      <c r="B29">
        <f t="shared" ca="1" si="0"/>
        <v>0.82228867064153588</v>
      </c>
    </row>
    <row r="30" spans="1:2">
      <c r="A30" s="6"/>
      <c r="B30">
        <f t="shared" ca="1" si="0"/>
        <v>0.9145979907646905</v>
      </c>
    </row>
    <row r="31" spans="1:2">
      <c r="A31" s="6"/>
      <c r="B31">
        <f t="shared" ca="1" si="0"/>
        <v>0.77620611621309599</v>
      </c>
    </row>
    <row r="32" spans="1:2">
      <c r="A32" s="6"/>
      <c r="B32">
        <f t="shared" ca="1" si="0"/>
        <v>0.67481781078312664</v>
      </c>
    </row>
    <row r="33" spans="1:2">
      <c r="A33" s="6"/>
      <c r="B33">
        <f t="shared" ca="1" si="0"/>
        <v>0.72171905378434842</v>
      </c>
    </row>
    <row r="34" spans="1:2">
      <c r="A34" s="6"/>
      <c r="B34">
        <f t="shared" ca="1" si="0"/>
        <v>0.15807821731211236</v>
      </c>
    </row>
    <row r="35" spans="1:2">
      <c r="A35" s="6"/>
      <c r="B35">
        <f t="shared" ca="1" si="0"/>
        <v>0.6458026213121264</v>
      </c>
    </row>
    <row r="36" spans="1:2">
      <c r="A36" s="6"/>
      <c r="B36">
        <f t="shared" ca="1" si="0"/>
        <v>0.76120934427465003</v>
      </c>
    </row>
    <row r="37" spans="1:2">
      <c r="A37" s="6"/>
      <c r="B37">
        <f t="shared" ca="1" si="0"/>
        <v>0.80600221622971169</v>
      </c>
    </row>
    <row r="38" spans="1:2">
      <c r="A38" s="6"/>
      <c r="B38">
        <f t="shared" ca="1" si="0"/>
        <v>0.53330632735358707</v>
      </c>
    </row>
    <row r="39" spans="1:2">
      <c r="A39" s="6"/>
      <c r="B39">
        <f t="shared" ca="1" si="0"/>
        <v>0.78866280991756466</v>
      </c>
    </row>
    <row r="40" spans="1:2">
      <c r="A40" s="6"/>
      <c r="B40">
        <f t="shared" ca="1" si="0"/>
        <v>0.37766204634931144</v>
      </c>
    </row>
    <row r="41" spans="1:2">
      <c r="A41" s="6"/>
      <c r="B41">
        <f t="shared" ca="1" si="0"/>
        <v>2.3327338552119992E-2</v>
      </c>
    </row>
    <row r="42" spans="1:2">
      <c r="A42" s="6"/>
      <c r="B42">
        <f t="shared" ca="1" si="0"/>
        <v>0.97433035868708306</v>
      </c>
    </row>
    <row r="43" spans="1:2">
      <c r="A43" s="6"/>
      <c r="B43">
        <f t="shared" ca="1" si="0"/>
        <v>5.3959708023333386E-3</v>
      </c>
    </row>
    <row r="44" spans="1:2">
      <c r="A44" s="6"/>
      <c r="B44">
        <f t="shared" ca="1" si="0"/>
        <v>0.76144131205652332</v>
      </c>
    </row>
    <row r="45" spans="1:2">
      <c r="A45" s="6"/>
      <c r="B45">
        <f t="shared" ca="1" si="0"/>
        <v>0.74375961789898937</v>
      </c>
    </row>
    <row r="46" spans="1:2">
      <c r="A46" s="6"/>
      <c r="B46">
        <f t="shared" ca="1" si="0"/>
        <v>0.61813305488956982</v>
      </c>
    </row>
    <row r="47" spans="1:2">
      <c r="A47" s="6"/>
      <c r="B47">
        <f t="shared" ca="1" si="0"/>
        <v>0.3296276703487705</v>
      </c>
    </row>
    <row r="48" spans="1:2">
      <c r="A48" s="6"/>
      <c r="B48">
        <f t="shared" ca="1" si="0"/>
        <v>0.88324020574594286</v>
      </c>
    </row>
    <row r="49" spans="1:2">
      <c r="A49" s="6"/>
      <c r="B49">
        <f t="shared" ca="1" si="0"/>
        <v>0.20420357737803163</v>
      </c>
    </row>
    <row r="50" spans="1:2">
      <c r="A50" s="6"/>
      <c r="B50">
        <f t="shared" ca="1" si="0"/>
        <v>0.25594255134043142</v>
      </c>
    </row>
    <row r="51" spans="1:2">
      <c r="A51" s="6"/>
      <c r="B51">
        <f t="shared" ca="1" si="0"/>
        <v>0.12577436720574331</v>
      </c>
    </row>
    <row r="52" spans="1:2">
      <c r="A52" s="6"/>
      <c r="B52">
        <f t="shared" ca="1" si="0"/>
        <v>0.62828162494349293</v>
      </c>
    </row>
    <row r="53" spans="1:2">
      <c r="A53" s="6"/>
      <c r="B53">
        <f t="shared" ca="1" si="0"/>
        <v>0.15091001150765748</v>
      </c>
    </row>
    <row r="54" spans="1:2">
      <c r="A54" s="6"/>
      <c r="B54">
        <f t="shared" ca="1" si="0"/>
        <v>0.88238878620279071</v>
      </c>
    </row>
    <row r="55" spans="1:2">
      <c r="A55" s="6"/>
      <c r="B55">
        <f t="shared" ca="1" si="0"/>
        <v>0.27098361040033458</v>
      </c>
    </row>
    <row r="56" spans="1:2">
      <c r="A56" s="6"/>
      <c r="B56">
        <f t="shared" ca="1" si="0"/>
        <v>0.88942994630791017</v>
      </c>
    </row>
    <row r="57" spans="1:2">
      <c r="A57" s="6"/>
      <c r="B57">
        <f t="shared" ca="1" si="0"/>
        <v>1.1993664868411247E-2</v>
      </c>
    </row>
    <row r="58" spans="1:2">
      <c r="A58" s="6"/>
      <c r="B58">
        <f t="shared" ca="1" si="0"/>
        <v>0.43416064793477471</v>
      </c>
    </row>
    <row r="59" spans="1:2">
      <c r="A59" s="6"/>
      <c r="B59">
        <f t="shared" ca="1" si="0"/>
        <v>0.83759513827044008</v>
      </c>
    </row>
    <row r="60" spans="1:2">
      <c r="A60" s="6"/>
      <c r="B60">
        <f t="shared" ca="1" si="0"/>
        <v>0.90327528358884013</v>
      </c>
    </row>
    <row r="61" spans="1:2">
      <c r="A61" s="6"/>
      <c r="B61">
        <f t="shared" ca="1" si="0"/>
        <v>0.87679441472034081</v>
      </c>
    </row>
    <row r="62" spans="1:2">
      <c r="A62" s="6"/>
      <c r="B62">
        <f t="shared" ca="1" si="0"/>
        <v>0.22890691517642203</v>
      </c>
    </row>
    <row r="63" spans="1:2">
      <c r="A63" s="6"/>
      <c r="B63">
        <f t="shared" ca="1" si="0"/>
        <v>0.78641702011809744</v>
      </c>
    </row>
    <row r="64" spans="1:2">
      <c r="A64" s="6"/>
      <c r="B64">
        <f t="shared" ca="1" si="0"/>
        <v>0.61178348513705438</v>
      </c>
    </row>
    <row r="65" spans="1:2">
      <c r="A65" s="6"/>
      <c r="B65">
        <f t="shared" ca="1" si="0"/>
        <v>0.39215882712507943</v>
      </c>
    </row>
    <row r="66" spans="1:2">
      <c r="A66" s="6"/>
      <c r="B66">
        <f t="shared" ca="1" si="0"/>
        <v>0.41399287996665679</v>
      </c>
    </row>
    <row r="67" spans="1:2">
      <c r="A67" s="6"/>
      <c r="B67">
        <f t="shared" ca="1" si="0"/>
        <v>0.54195658113023204</v>
      </c>
    </row>
    <row r="68" spans="1:2">
      <c r="A68" s="6"/>
      <c r="B68">
        <f t="shared" ref="B68:B101" ca="1" si="1">RAND()</f>
        <v>0.6009371665095441</v>
      </c>
    </row>
    <row r="69" spans="1:2">
      <c r="A69" s="6"/>
      <c r="B69">
        <f t="shared" ca="1" si="1"/>
        <v>0.99726218286833124</v>
      </c>
    </row>
    <row r="70" spans="1:2">
      <c r="A70" s="6"/>
      <c r="B70">
        <f t="shared" ca="1" si="1"/>
        <v>0.82583176486638921</v>
      </c>
    </row>
    <row r="71" spans="1:2">
      <c r="A71" s="6"/>
      <c r="B71">
        <f t="shared" ca="1" si="1"/>
        <v>0.35219234029459012</v>
      </c>
    </row>
    <row r="72" spans="1:2">
      <c r="A72" s="6"/>
      <c r="B72">
        <f t="shared" ca="1" si="1"/>
        <v>0.30002119233935154</v>
      </c>
    </row>
    <row r="73" spans="1:2">
      <c r="A73" s="6"/>
      <c r="B73">
        <f t="shared" ca="1" si="1"/>
        <v>0.76383393203588612</v>
      </c>
    </row>
    <row r="74" spans="1:2">
      <c r="A74" s="6"/>
      <c r="B74">
        <f t="shared" ca="1" si="1"/>
        <v>4.1794627206478752E-2</v>
      </c>
    </row>
    <row r="75" spans="1:2">
      <c r="A75" s="6"/>
      <c r="B75">
        <f t="shared" ca="1" si="1"/>
        <v>0.40708014176347107</v>
      </c>
    </row>
    <row r="76" spans="1:2">
      <c r="A76" s="6"/>
      <c r="B76">
        <f t="shared" ca="1" si="1"/>
        <v>5.261030321927318E-2</v>
      </c>
    </row>
    <row r="77" spans="1:2">
      <c r="A77" s="6"/>
      <c r="B77">
        <f t="shared" ca="1" si="1"/>
        <v>0.86585045113841697</v>
      </c>
    </row>
    <row r="78" spans="1:2">
      <c r="A78" s="6"/>
      <c r="B78">
        <f t="shared" ca="1" si="1"/>
        <v>0.49639235122721725</v>
      </c>
    </row>
    <row r="79" spans="1:2">
      <c r="A79" s="6"/>
      <c r="B79">
        <f t="shared" ca="1" si="1"/>
        <v>0.78504425050614157</v>
      </c>
    </row>
    <row r="80" spans="1:2">
      <c r="A80" s="6"/>
      <c r="B80">
        <f t="shared" ca="1" si="1"/>
        <v>0.13035613269139457</v>
      </c>
    </row>
    <row r="81" spans="1:2">
      <c r="A81" s="6"/>
      <c r="B81">
        <f t="shared" ca="1" si="1"/>
        <v>0.16094495059662595</v>
      </c>
    </row>
    <row r="82" spans="1:2">
      <c r="A82" s="6"/>
      <c r="B82">
        <f t="shared" ca="1" si="1"/>
        <v>1.4908559955776557E-2</v>
      </c>
    </row>
    <row r="83" spans="1:2">
      <c r="A83" s="6"/>
      <c r="B83">
        <f t="shared" ca="1" si="1"/>
        <v>0.77877653651123546</v>
      </c>
    </row>
    <row r="84" spans="1:2">
      <c r="A84" s="6"/>
      <c r="B84">
        <f t="shared" ca="1" si="1"/>
        <v>0.28452222014427475</v>
      </c>
    </row>
    <row r="85" spans="1:2">
      <c r="A85" s="6"/>
      <c r="B85">
        <f t="shared" ca="1" si="1"/>
        <v>0.98409039881033455</v>
      </c>
    </row>
    <row r="86" spans="1:2">
      <c r="A86" s="6"/>
      <c r="B86">
        <f t="shared" ca="1" si="1"/>
        <v>0.64606800003094345</v>
      </c>
    </row>
    <row r="87" spans="1:2">
      <c r="A87" s="6"/>
      <c r="B87">
        <f t="shared" ca="1" si="1"/>
        <v>0.36218340920120196</v>
      </c>
    </row>
    <row r="88" spans="1:2">
      <c r="A88" s="6"/>
      <c r="B88">
        <f t="shared" ca="1" si="1"/>
        <v>9.817077854106504E-2</v>
      </c>
    </row>
    <row r="89" spans="1:2">
      <c r="A89" s="6"/>
      <c r="B89">
        <f t="shared" ca="1" si="1"/>
        <v>5.004464607167125E-2</v>
      </c>
    </row>
    <row r="90" spans="1:2">
      <c r="A90" s="6"/>
      <c r="B90">
        <f t="shared" ca="1" si="1"/>
        <v>1.4395730903890014E-2</v>
      </c>
    </row>
    <row r="91" spans="1:2">
      <c r="A91" s="6"/>
      <c r="B91">
        <f t="shared" ca="1" si="1"/>
        <v>0.37419607626348306</v>
      </c>
    </row>
    <row r="92" spans="1:2">
      <c r="A92" s="6"/>
      <c r="B92">
        <f t="shared" ca="1" si="1"/>
        <v>6.3522425211662625E-2</v>
      </c>
    </row>
    <row r="93" spans="1:2">
      <c r="A93" s="6"/>
      <c r="B93">
        <f t="shared" ca="1" si="1"/>
        <v>0.53913977492308096</v>
      </c>
    </row>
    <row r="94" spans="1:2">
      <c r="A94" s="6"/>
      <c r="B94">
        <f t="shared" ca="1" si="1"/>
        <v>0.3809702738825651</v>
      </c>
    </row>
    <row r="95" spans="1:2">
      <c r="A95" s="6"/>
      <c r="B95">
        <f t="shared" ca="1" si="1"/>
        <v>0.57974643526034675</v>
      </c>
    </row>
    <row r="96" spans="1:2">
      <c r="A96" s="6"/>
      <c r="B96">
        <f t="shared" ca="1" si="1"/>
        <v>0.48800601938584653</v>
      </c>
    </row>
    <row r="97" spans="1:2">
      <c r="A97" s="6"/>
      <c r="B97">
        <f t="shared" ca="1" si="1"/>
        <v>0.92132296993629237</v>
      </c>
    </row>
    <row r="98" spans="1:2">
      <c r="A98" s="6"/>
      <c r="B98">
        <f t="shared" ca="1" si="1"/>
        <v>0.69779689830941083</v>
      </c>
    </row>
    <row r="99" spans="1:2">
      <c r="A99" s="6"/>
      <c r="B99">
        <f t="shared" ca="1" si="1"/>
        <v>0.41823512107044902</v>
      </c>
    </row>
    <row r="100" spans="1:2">
      <c r="A100" s="6"/>
      <c r="B100">
        <f t="shared" ca="1" si="1"/>
        <v>0.72544526323954106</v>
      </c>
    </row>
    <row r="101" spans="1:2">
      <c r="A101" s="6"/>
      <c r="B101">
        <f t="shared" ca="1" si="1"/>
        <v>0.23629558103867354</v>
      </c>
    </row>
    <row r="102" spans="1:2">
      <c r="A102" s="6"/>
      <c r="B102">
        <f ca="1">RAND()</f>
        <v>0.48090905740497625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587A4-D568-4569-B331-9E3B42E740CF}">
  <dimension ref="A1:L15"/>
  <sheetViews>
    <sheetView workbookViewId="0">
      <selection activeCell="E8" sqref="E8"/>
    </sheetView>
  </sheetViews>
  <sheetFormatPr defaultRowHeight="14"/>
  <cols>
    <col min="1" max="1" width="37.33203125" customWidth="1"/>
    <col min="2" max="2" width="10.4140625" customWidth="1"/>
  </cols>
  <sheetData>
    <row r="1" spans="1:12">
      <c r="A1" s="1" t="s">
        <v>8</v>
      </c>
      <c r="B1" s="1"/>
      <c r="C1" s="1"/>
      <c r="D1" s="1"/>
      <c r="E1" s="1"/>
      <c r="F1" s="1"/>
      <c r="G1" s="1"/>
      <c r="H1" s="1"/>
      <c r="I1" s="1"/>
      <c r="J1" s="1"/>
      <c r="K1" s="1"/>
      <c r="L1" s="1"/>
    </row>
    <row r="4" spans="1:12" ht="17.5">
      <c r="A4" s="13" t="s">
        <v>61</v>
      </c>
    </row>
    <row r="5" spans="1:12">
      <c r="A5" s="14"/>
    </row>
    <row r="6" spans="1:12">
      <c r="A6" s="14" t="s">
        <v>62</v>
      </c>
      <c r="B6">
        <v>50</v>
      </c>
    </row>
    <row r="7" spans="1:12">
      <c r="A7" s="14"/>
    </row>
    <row r="8" spans="1:12">
      <c r="A8" s="14" t="s">
        <v>63</v>
      </c>
      <c r="B8">
        <v>5</v>
      </c>
    </row>
    <row r="9" spans="1:12">
      <c r="A9" s="14"/>
    </row>
    <row r="10" spans="1:12">
      <c r="A10" s="14" t="s">
        <v>64</v>
      </c>
      <c r="B10">
        <v>45</v>
      </c>
    </row>
    <row r="11" spans="1:12">
      <c r="A11" s="14"/>
    </row>
    <row r="12" spans="1:12">
      <c r="A12" s="14" t="s">
        <v>65</v>
      </c>
      <c r="B12">
        <v>55</v>
      </c>
    </row>
    <row r="14" spans="1:12">
      <c r="B14" s="15">
        <f>_xlfn.NORM.DIST(B12,B6,B8,TRUE) - _xlfn.NORM.DIST(B10,B6,B8,TRUE)</f>
        <v>0.68268949213708607</v>
      </c>
    </row>
    <row r="15" spans="1:12">
      <c r="A15" t="s">
        <v>66</v>
      </c>
      <c r="B15" s="16">
        <v>0.68269999999999997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AB901-1C43-457B-B120-4BE8C236194B}">
  <dimension ref="A1:A27"/>
  <sheetViews>
    <sheetView workbookViewId="0">
      <selection activeCell="A7" sqref="A7"/>
    </sheetView>
  </sheetViews>
  <sheetFormatPr defaultRowHeight="14"/>
  <cols>
    <col min="1" max="1" width="209.4140625" bestFit="1" customWidth="1"/>
  </cols>
  <sheetData>
    <row r="1" spans="1:1">
      <c r="A1" s="1" t="s">
        <v>9</v>
      </c>
    </row>
    <row r="3" spans="1:1">
      <c r="A3" s="8" t="s">
        <v>10</v>
      </c>
    </row>
    <row r="5" spans="1:1">
      <c r="A5" s="8" t="s">
        <v>12</v>
      </c>
    </row>
    <row r="7" spans="1:1">
      <c r="A7" s="2" t="s">
        <v>11</v>
      </c>
    </row>
    <row r="9" spans="1:1">
      <c r="A9" s="8" t="s">
        <v>13</v>
      </c>
    </row>
    <row r="10" spans="1:1">
      <c r="A10" s="8"/>
    </row>
    <row r="11" spans="1:1">
      <c r="A11" s="8" t="s">
        <v>14</v>
      </c>
    </row>
    <row r="12" spans="1:1">
      <c r="A12" s="8"/>
    </row>
    <row r="13" spans="1:1">
      <c r="A13" s="8" t="s">
        <v>15</v>
      </c>
    </row>
    <row r="15" spans="1:1">
      <c r="A15" s="2" t="s">
        <v>16</v>
      </c>
    </row>
    <row r="17" spans="1:1">
      <c r="A17" t="s">
        <v>17</v>
      </c>
    </row>
    <row r="18" spans="1:1">
      <c r="A18" t="s">
        <v>18</v>
      </c>
    </row>
    <row r="19" spans="1:1">
      <c r="A19" t="s">
        <v>19</v>
      </c>
    </row>
    <row r="20" spans="1:1">
      <c r="A20" t="s">
        <v>20</v>
      </c>
    </row>
    <row r="22" spans="1:1">
      <c r="A22" s="2" t="s">
        <v>21</v>
      </c>
    </row>
    <row r="25" spans="1:1">
      <c r="A25" s="2" t="s">
        <v>22</v>
      </c>
    </row>
    <row r="27" spans="1:1">
      <c r="A27" s="2"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9150A-7917-43DE-8B73-9770D7AD6D6E}">
  <dimension ref="A1:A13"/>
  <sheetViews>
    <sheetView topLeftCell="A16" workbookViewId="0">
      <selection activeCell="A13" sqref="A13"/>
    </sheetView>
  </sheetViews>
  <sheetFormatPr defaultRowHeight="14"/>
  <cols>
    <col min="1" max="1" width="203.83203125" bestFit="1" customWidth="1"/>
  </cols>
  <sheetData>
    <row r="1" spans="1:1">
      <c r="A1" s="1" t="s">
        <v>24</v>
      </c>
    </row>
    <row r="3" spans="1:1">
      <c r="A3" s="8" t="s">
        <v>25</v>
      </c>
    </row>
    <row r="4" spans="1:1">
      <c r="A4" s="8"/>
    </row>
    <row r="5" spans="1:1">
      <c r="A5" s="8" t="s">
        <v>26</v>
      </c>
    </row>
    <row r="7" spans="1:1">
      <c r="A7" t="s">
        <v>27</v>
      </c>
    </row>
    <row r="9" spans="1:1">
      <c r="A9" s="2" t="s">
        <v>28</v>
      </c>
    </row>
    <row r="11" spans="1:1">
      <c r="A11" s="2" t="s">
        <v>29</v>
      </c>
    </row>
    <row r="13" spans="1:1">
      <c r="A13" s="2" t="s">
        <v>30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A51D1-FC92-4D7D-8BA8-F0C55E5256C6}">
  <dimension ref="A1:A24"/>
  <sheetViews>
    <sheetView workbookViewId="0">
      <selection activeCell="A10" sqref="A10"/>
    </sheetView>
  </sheetViews>
  <sheetFormatPr defaultRowHeight="14"/>
  <cols>
    <col min="1" max="1" width="163" bestFit="1" customWidth="1"/>
  </cols>
  <sheetData>
    <row r="1" spans="1:1">
      <c r="A1" s="1" t="s">
        <v>31</v>
      </c>
    </row>
    <row r="4" spans="1:1">
      <c r="A4" t="s">
        <v>32</v>
      </c>
    </row>
    <row r="7" spans="1:1">
      <c r="A7" t="s">
        <v>33</v>
      </c>
    </row>
    <row r="9" spans="1:1">
      <c r="A9" s="8" t="s">
        <v>34</v>
      </c>
    </row>
    <row r="11" spans="1:1">
      <c r="A11" t="s">
        <v>35</v>
      </c>
    </row>
    <row r="13" spans="1:1">
      <c r="A13" s="8" t="s">
        <v>36</v>
      </c>
    </row>
    <row r="14" spans="1:1">
      <c r="A14" s="8" t="s">
        <v>37</v>
      </c>
    </row>
    <row r="16" spans="1:1">
      <c r="A16" t="s">
        <v>38</v>
      </c>
    </row>
    <row r="18" spans="1:1">
      <c r="A18" s="8" t="s">
        <v>39</v>
      </c>
    </row>
    <row r="19" spans="1:1">
      <c r="A19" s="8" t="s">
        <v>40</v>
      </c>
    </row>
    <row r="21" spans="1:1">
      <c r="A21" t="s">
        <v>41</v>
      </c>
    </row>
    <row r="23" spans="1:1">
      <c r="A23" s="8" t="s">
        <v>42</v>
      </c>
    </row>
    <row r="24" spans="1:1">
      <c r="A24" s="8" t="s">
        <v>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97360-A00D-4F3B-A6E2-2412988A3E51}">
  <dimension ref="A1:C14"/>
  <sheetViews>
    <sheetView workbookViewId="0">
      <selection activeCell="A9" sqref="A9"/>
    </sheetView>
  </sheetViews>
  <sheetFormatPr defaultRowHeight="14"/>
  <cols>
    <col min="1" max="1" width="99.25" bestFit="1" customWidth="1"/>
    <col min="3" max="3" width="23" bestFit="1" customWidth="1"/>
  </cols>
  <sheetData>
    <row r="1" spans="1:3">
      <c r="A1" s="1" t="s">
        <v>44</v>
      </c>
    </row>
    <row r="3" spans="1:3">
      <c r="A3" t="s">
        <v>45</v>
      </c>
      <c r="B3">
        <v>7</v>
      </c>
    </row>
    <row r="4" spans="1:3">
      <c r="A4" t="s">
        <v>46</v>
      </c>
      <c r="B4">
        <v>15</v>
      </c>
    </row>
    <row r="5" spans="1:3">
      <c r="A5" t="s">
        <v>47</v>
      </c>
      <c r="B5">
        <v>0.5</v>
      </c>
    </row>
    <row r="6" spans="1:3">
      <c r="A6">
        <f>_xlfn.BINOM.DIST(B3,B4,B5,TRUE)</f>
        <v>0.5</v>
      </c>
    </row>
    <row r="8" spans="1:3">
      <c r="A8" s="2">
        <f>1-A6</f>
        <v>0.5</v>
      </c>
      <c r="C8" s="2" t="s">
        <v>5</v>
      </c>
    </row>
    <row r="14" spans="1:3">
      <c r="A14" t="s">
        <v>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7EDC1-50E1-4AD7-92F5-0CD25652644D}">
  <dimension ref="A1:A26"/>
  <sheetViews>
    <sheetView workbookViewId="0">
      <selection activeCell="A7" sqref="A7"/>
    </sheetView>
  </sheetViews>
  <sheetFormatPr defaultRowHeight="14"/>
  <cols>
    <col min="1" max="1" width="227.75" bestFit="1" customWidth="1"/>
  </cols>
  <sheetData>
    <row r="1" spans="1:1">
      <c r="A1" s="1" t="s">
        <v>48</v>
      </c>
    </row>
    <row r="4" spans="1:1">
      <c r="A4" s="8" t="s">
        <v>49</v>
      </c>
    </row>
    <row r="6" spans="1:1">
      <c r="A6" s="2" t="s">
        <v>50</v>
      </c>
    </row>
    <row r="8" spans="1:1">
      <c r="A8" s="8" t="s">
        <v>53</v>
      </c>
    </row>
    <row r="10" spans="1:1">
      <c r="A10" s="9" t="s">
        <v>51</v>
      </c>
    </row>
    <row r="12" spans="1:1">
      <c r="A12" s="2" t="s">
        <v>52</v>
      </c>
    </row>
    <row r="14" spans="1:1">
      <c r="A14" t="s">
        <v>54</v>
      </c>
    </row>
    <row r="16" spans="1:1">
      <c r="A16" s="2" t="s">
        <v>55</v>
      </c>
    </row>
    <row r="18" spans="1:1" ht="15.5">
      <c r="A18" s="12" t="s">
        <v>58</v>
      </c>
    </row>
    <row r="19" spans="1:1">
      <c r="A19" s="8"/>
    </row>
    <row r="20" spans="1:1" ht="15.5">
      <c r="A20" s="10" t="s">
        <v>56</v>
      </c>
    </row>
    <row r="21" spans="1:1">
      <c r="A21" s="8"/>
    </row>
    <row r="22" spans="1:1">
      <c r="A22" s="8" t="s">
        <v>57</v>
      </c>
    </row>
    <row r="23" spans="1:1">
      <c r="A23" s="11"/>
    </row>
    <row r="24" spans="1:1">
      <c r="A24" s="11" t="s">
        <v>59</v>
      </c>
    </row>
    <row r="25" spans="1:1">
      <c r="A25" s="11"/>
    </row>
    <row r="26" spans="1:1">
      <c r="A26" s="11"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Answer 1</vt:lpstr>
      <vt:lpstr>Answer 2</vt:lpstr>
      <vt:lpstr>Answer 3</vt:lpstr>
      <vt:lpstr>Answer  4</vt:lpstr>
      <vt:lpstr>Answer 5</vt:lpstr>
      <vt:lpstr>Answer 6</vt:lpstr>
      <vt:lpstr>Answer 7</vt:lpstr>
      <vt:lpstr>Answer 8</vt:lpstr>
    </vt:vector>
  </TitlesOfParts>
  <Company>IHG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Arora, Diksha</dc:creator>
  <cp:lastModifiedBy>dell</cp:lastModifiedBy>
  <dcterms:created xsi:type="dcterms:W3CDTF">2026-01-07T06:08:50Z</dcterms:created>
  <dcterms:modified xsi:type="dcterms:W3CDTF">2026-01-08T15:54:55Z</dcterms:modified>
</cp:coreProperties>
</file>